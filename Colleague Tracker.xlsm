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yal.rzakhanov\Desktop\"/>
    </mc:Choice>
  </mc:AlternateContent>
  <xr:revisionPtr revIDLastSave="0" documentId="13_ncr:1_{B3D942A5-1A9A-49F2-AA7D-C7E2D8EC5F33}" xr6:coauthVersionLast="47" xr6:coauthVersionMax="47" xr10:uidLastSave="{00000000-0000-0000-0000-000000000000}"/>
  <bookViews>
    <workbookView xWindow="-108" yWindow="-108" windowWidth="23256" windowHeight="12576" tabRatio="773" activeTab="4" xr2:uid="{F6464BB4-D61D-4C15-A395-614EFD51DAAD}"/>
  </bookViews>
  <sheets>
    <sheet name="DB-s" sheetId="8" r:id="rId1"/>
    <sheet name="Dashboard" sheetId="1" r:id="rId2"/>
    <sheet name="Add New Colleague" sheetId="4" r:id="rId3"/>
    <sheet name="Colleague Profile" sheetId="6" r:id="rId4"/>
    <sheet name=" Absence Tracker" sheetId="2" r:id="rId5"/>
    <sheet name="Performance Tracker" sheetId="3" r:id="rId6"/>
    <sheet name="Skill Set" sheetId="5" r:id="rId7"/>
    <sheet name="Quick Find" sheetId="7" r:id="rId8"/>
  </sheets>
  <definedNames>
    <definedName name="rngName">Main_DB[Name]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8" i="2" l="1"/>
  <c r="AC7" i="2"/>
  <c r="AC6" i="2"/>
  <c r="AC5" i="2"/>
  <c r="AC4" i="2"/>
  <c r="AC3" i="2"/>
  <c r="AC2" i="2"/>
  <c r="AC1" i="2"/>
  <c r="N11" i="2"/>
  <c r="N7" i="2"/>
  <c r="I6" i="6"/>
  <c r="D6" i="6"/>
  <c r="I8" i="2" s="1"/>
  <c r="N5" i="2" s="1"/>
  <c r="I15" i="4"/>
  <c r="I11" i="4"/>
  <c r="I7" i="4"/>
  <c r="AC3" i="4"/>
  <c r="AC2" i="4"/>
  <c r="AC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</author>
  </authors>
  <commentList>
    <comment ref="E9" authorId="0" shapeId="0" xr:uid="{3BD6EDFF-F878-425F-A8B2-4CE595EB3EA8}">
      <text>
        <r>
          <rPr>
            <b/>
            <sz val="9"/>
            <color indexed="81"/>
            <rFont val="Tahoma"/>
            <family val="2"/>
          </rPr>
          <t>Martin: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3"/>
            <color indexed="81"/>
            <rFont val="Tahoma"/>
            <family val="2"/>
          </rPr>
          <t xml:space="preserve">Open Absnce Tracker page
</t>
        </r>
      </text>
    </comment>
    <comment ref="E12" authorId="0" shapeId="0" xr:uid="{BBE06C2A-E7F3-42DA-9F96-44C9D1C466B2}">
      <text>
        <r>
          <rPr>
            <b/>
            <sz val="13"/>
            <color indexed="81"/>
            <rFont val="Tahoma"/>
            <family val="2"/>
          </rPr>
          <t xml:space="preserve">Martin:
</t>
        </r>
        <r>
          <rPr>
            <sz val="13"/>
            <color indexed="81"/>
            <rFont val="Tahoma"/>
            <family val="2"/>
          </rPr>
          <t>Open Performance Tracker page</t>
        </r>
      </text>
    </comment>
    <comment ref="E15" authorId="0" shapeId="0" xr:uid="{8C6E2662-3454-4F96-B388-966B89163876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Open Skill Set page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</author>
  </authors>
  <commentList>
    <comment ref="H14" authorId="0" shapeId="0" xr:uid="{2AF63995-C2E4-468D-8010-67C23F6F8825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Trigger point 2 is hit because there is less than 9 months between Trigger point 1 &amp; 2
If colleague has another day off within 9 months, trigger point would be Yes, and Stage 3 would be active in RED.
If colleague had another day off and it was after 9 months of the last date: (Example: 30/05/2023) then no trigger point would be hit, and it starts again.</t>
        </r>
      </text>
    </comment>
    <comment ref="I16" authorId="0" shapeId="0" xr:uid="{A01BAA99-F040-4FA0-B260-8AE099745678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Scroll Bar added to move up an down sickness days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</author>
  </authors>
  <commentList>
    <comment ref="C6" authorId="0" shapeId="0" xr:uid="{A7BFF968-E495-406E-9C22-71E0126FEC16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Click colleagues name to move back to Colleague Dashboard</t>
        </r>
      </text>
    </comment>
    <comment ref="C24" authorId="0" shapeId="0" xr:uid="{C3E8A467-6533-492C-AFF9-B5AD27FBFEBB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Allows you to add new data to the above list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</author>
  </authors>
  <commentList>
    <comment ref="D6" authorId="0" shapeId="0" xr:uid="{95A5460A-B108-42A9-8A9D-7AB91561186D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Click colleagues name to move back to Colleague Dashboard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3773E0A7-3891-4D66-B89A-941EDB8E8FA6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When the box is selected, input a tick and change the cell green.
</t>
        </r>
      </text>
    </comment>
    <comment ref="H11" authorId="0" shapeId="0" xr:uid="{7CBF37FA-385D-479B-B4BB-13928485B42B}">
      <text>
        <r>
          <rPr>
            <b/>
            <sz val="13"/>
            <color indexed="81"/>
            <rFont val="Tahoma"/>
            <family val="2"/>
          </rPr>
          <t>Martin:</t>
        </r>
        <r>
          <rPr>
            <sz val="13"/>
            <color indexed="81"/>
            <rFont val="Tahoma"/>
            <family val="2"/>
          </rPr>
          <t xml:space="preserve">
When the box is selected, input a tick and change the cell green.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</author>
  </authors>
  <commentList>
    <comment ref="G10" authorId="0" shapeId="0" xr:uid="{1A6A3592-FBAF-4BD2-A3DA-D2385ADC88A2}">
      <text>
        <r>
          <rPr>
            <b/>
            <sz val="9"/>
            <color indexed="81"/>
            <rFont val="Tahoma"/>
            <family val="2"/>
          </rPr>
          <t>Martin: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3"/>
            <color indexed="81"/>
            <rFont val="Tahoma"/>
            <family val="2"/>
          </rPr>
          <t>Manually input the EAN number to search colleague profile.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3" authorId="0" shapeId="0" xr:uid="{A85672CE-45EA-463E-A432-55BE391D74A6}">
      <text>
        <r>
          <rPr>
            <b/>
            <sz val="9"/>
            <color indexed="81"/>
            <rFont val="Tahoma"/>
            <family val="2"/>
          </rPr>
          <t>Martin: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3"/>
            <color indexed="81"/>
            <rFont val="Tahoma"/>
            <family val="2"/>
          </rPr>
          <t>Drop down menu that shows all the Skills that are on the 'Skill Set' page. - When skill is selected it shows all colleagues with that skill ticked.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<sst xmlns="http://schemas.openxmlformats.org/spreadsheetml/2006/main" count="101" uniqueCount="73">
  <si>
    <t>Add Colleague</t>
  </si>
  <si>
    <t>Colleague Name</t>
  </si>
  <si>
    <t>Colleague EAN</t>
  </si>
  <si>
    <t>Notes:</t>
  </si>
  <si>
    <t>Total Days:</t>
  </si>
  <si>
    <t>Absence Reason:</t>
  </si>
  <si>
    <t>Absence Date:</t>
  </si>
  <si>
    <t>Trigger Point Hit:</t>
  </si>
  <si>
    <t>Warning Issued:</t>
  </si>
  <si>
    <t>Main Dashboard</t>
  </si>
  <si>
    <t>RTW Done:</t>
  </si>
  <si>
    <t>Returns Colleague Tracker</t>
  </si>
  <si>
    <t>Colleague Absence Tracker</t>
  </si>
  <si>
    <t>Cold / Flu symptoms</t>
  </si>
  <si>
    <t>No</t>
  </si>
  <si>
    <t>N/A</t>
  </si>
  <si>
    <t>Stomach Upset</t>
  </si>
  <si>
    <t>Sick</t>
  </si>
  <si>
    <t>Yes</t>
  </si>
  <si>
    <t>Stage 1 (Verbal)</t>
  </si>
  <si>
    <t>Colleague Performance Tracker</t>
  </si>
  <si>
    <t>Date:</t>
  </si>
  <si>
    <t>Spoke with colleague regarding under-performing. Only doing 34 per hour and needs to improve</t>
  </si>
  <si>
    <t>Spoken with due to high amount of ghost records.</t>
  </si>
  <si>
    <t>Add New Data</t>
  </si>
  <si>
    <t>Stage 2 (Written)</t>
  </si>
  <si>
    <t>Name:</t>
  </si>
  <si>
    <t>EAN:</t>
  </si>
  <si>
    <t>Start Date:</t>
  </si>
  <si>
    <t>Add New Colleague To Tracker:</t>
  </si>
  <si>
    <t>Colleague Skills Tracker</t>
  </si>
  <si>
    <t>OSS</t>
  </si>
  <si>
    <t>Pocket Induct</t>
  </si>
  <si>
    <t>FTS</t>
  </si>
  <si>
    <t>One Stop Shop:</t>
  </si>
  <si>
    <t>2nd Level Returns / Expert</t>
  </si>
  <si>
    <t>Research</t>
  </si>
  <si>
    <t>Hanging</t>
  </si>
  <si>
    <t>Pre-Sortation</t>
  </si>
  <si>
    <t>WGR</t>
  </si>
  <si>
    <t>8X's</t>
  </si>
  <si>
    <t>Compliance</t>
  </si>
  <si>
    <t>Parcel Loading</t>
  </si>
  <si>
    <t>W/A Consolidation</t>
  </si>
  <si>
    <t>Manual</t>
  </si>
  <si>
    <t>Inbound / Processed Returns</t>
  </si>
  <si>
    <t>Processed FTS</t>
  </si>
  <si>
    <t>Other</t>
  </si>
  <si>
    <t>PPT</t>
  </si>
  <si>
    <t>Inbound</t>
  </si>
  <si>
    <t>Picking</t>
  </si>
  <si>
    <t>Packing</t>
  </si>
  <si>
    <t>Despatch</t>
  </si>
  <si>
    <t>Absence Tracker</t>
  </si>
  <si>
    <t>Colleague EAN:</t>
  </si>
  <si>
    <t>Back To Main Dashboard</t>
  </si>
  <si>
    <t>Performance Tracker</t>
  </si>
  <si>
    <t>Skill Set</t>
  </si>
  <si>
    <t>√</t>
  </si>
  <si>
    <t>Colleague Name:</t>
  </si>
  <si>
    <t>Quick Find</t>
  </si>
  <si>
    <t>Name</t>
  </si>
  <si>
    <t>EAN</t>
  </si>
  <si>
    <t>Start Date</t>
  </si>
  <si>
    <t>Royal</t>
  </si>
  <si>
    <t>Martin</t>
  </si>
  <si>
    <t>DASHBOARD</t>
  </si>
  <si>
    <t>Absence Date</t>
  </si>
  <si>
    <t>Total Days</t>
  </si>
  <si>
    <t>Absence Reason</t>
  </si>
  <si>
    <t>RTW Done</t>
  </si>
  <si>
    <t>Trigger Point Hit</t>
  </si>
  <si>
    <t>Warning Issued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</si>
</sst>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color indexed="81"/>
      <name val="Tahoma"/>
      <family val="2"/>
    </font>
    <font>
      <sz val="13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 Nova"/>
      <family val="2"/>
    </font>
    <font>
      <sz val="18"/>
      <color theme="0"/>
      <name val="Arial Nova"/>
      <family val="2"/>
    </font>
    <font>
      <b/>
      <sz val="10"/>
      <color theme="0"/>
      <name val="Arial Nova"/>
      <family val="2"/>
    </font>
    <font>
      <sz val="11"/>
      <name val="Arial Nova"/>
      <family val="2"/>
    </font>
    <font>
      <sz val="11"/>
      <color theme="0"/>
      <name val="Arial Nova"/>
      <family val="2"/>
    </font>
    <font>
      <sz val="13"/>
      <color theme="0"/>
      <name val="Arial Nova"/>
      <family val="2"/>
    </font>
    <font>
      <sz val="10"/>
      <name val="Arial Nova"/>
      <family val="2"/>
    </font>
    <font>
      <sz val="10"/>
      <color theme="0"/>
      <name val="Arial Nova"/>
      <family val="2"/>
    </font>
    <font>
      <u/>
      <sz val="11"/>
      <color theme="10"/>
      <name val="Arial Nova"/>
      <family val="2"/>
    </font>
    <font>
      <sz val="18"/>
      <name val="Arial Nova"/>
      <family val="2"/>
    </font>
    <font>
      <b/>
      <sz val="11"/>
      <color theme="1"/>
      <name val="Arial Nova"/>
      <family val="2"/>
    </font>
    <font>
      <b/>
      <sz val="10"/>
      <color theme="1"/>
      <name val="Arial Nova"/>
      <family val="2"/>
    </font>
    <font>
      <sz val="10"/>
      <color theme="1"/>
      <name val="Arial Nova"/>
      <family val="2"/>
    </font>
    <font>
      <b/>
      <u/>
      <sz val="12"/>
      <color theme="1"/>
      <name val="Arial Nova"/>
      <family val="2"/>
    </font>
    <font>
      <sz val="12"/>
      <color theme="0"/>
      <name val="Arial Nova"/>
      <family val="2"/>
    </font>
    <font>
      <b/>
      <sz val="11"/>
      <color theme="0"/>
      <name val="Arial Nova"/>
      <family val="2"/>
    </font>
    <font>
      <b/>
      <sz val="10"/>
      <name val="Arial Nova"/>
      <family val="2"/>
    </font>
    <font>
      <sz val="13"/>
      <name val="Arial Nova"/>
      <family val="2"/>
    </font>
    <font>
      <sz val="11"/>
      <color theme="1"/>
      <name val="Wingdings 2"/>
      <family val="1"/>
      <charset val="2"/>
    </font>
    <font>
      <sz val="11"/>
      <color rgb="FFFF0000"/>
      <name val="Wingdings 2"/>
      <family val="1"/>
      <charset val="2"/>
    </font>
    <font>
      <b/>
      <sz val="11"/>
      <color rgb="FFFF0000"/>
      <name val="Wingdings 2"/>
      <family val="1"/>
      <charset val="2"/>
    </font>
    <font>
      <b/>
      <sz val="11"/>
      <color theme="0"/>
      <name val="Arial Nova"/>
      <family val="2"/>
      <charset val="204"/>
    </font>
    <font>
      <b/>
      <sz val="9"/>
      <color theme="0"/>
      <name val="Arial Nova"/>
      <family val="2"/>
      <charset val="204"/>
    </font>
    <font>
      <b/>
      <sz val="13"/>
      <color theme="0"/>
      <name val="Arial Nova"/>
      <family val="2"/>
      <charset val="204"/>
    </font>
    <font>
      <b/>
      <sz val="18"/>
      <color theme="0"/>
      <name val="Arial Nova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6"/>
      <color theme="0"/>
      <name val="Arial Nova"/>
      <family val="2"/>
    </font>
    <font>
      <sz val="11"/>
      <color theme="8" tint="-0.499984740745262"/>
      <name val="Arial Nova"/>
      <family val="2"/>
    </font>
    <font>
      <sz val="11"/>
      <color theme="3" tint="-0.249977111117893"/>
      <name val="Arial Nova"/>
      <family val="2"/>
    </font>
    <font>
      <sz val="20"/>
      <color theme="0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7">
    <xf numFmtId="0" fontId="0" fillId="0" borderId="0" xfId="0"/>
    <xf numFmtId="0" fontId="6" fillId="0" borderId="0" xfId="0" applyFont="1"/>
    <xf numFmtId="0" fontId="6" fillId="4" borderId="33" xfId="0" applyFont="1" applyFill="1" applyBorder="1"/>
    <xf numFmtId="0" fontId="6" fillId="2" borderId="0" xfId="0" applyFont="1" applyFill="1"/>
    <xf numFmtId="0" fontId="6" fillId="4" borderId="6" xfId="0" applyFont="1" applyFill="1" applyBorder="1"/>
    <xf numFmtId="0" fontId="8" fillId="2" borderId="1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6" fillId="4" borderId="0" xfId="0" applyFont="1" applyFill="1"/>
    <xf numFmtId="0" fontId="9" fillId="4" borderId="0" xfId="0" applyFont="1" applyFill="1" applyAlignment="1">
      <alignment horizontal="center" vertical="center"/>
    </xf>
    <xf numFmtId="14" fontId="11" fillId="4" borderId="0" xfId="0" applyNumberFormat="1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9" fillId="4" borderId="0" xfId="0" applyFont="1" applyFill="1" applyBorder="1"/>
    <xf numFmtId="0" fontId="11" fillId="4" borderId="0" xfId="0" applyFont="1" applyFill="1" applyBorder="1" applyAlignment="1">
      <alignment horizontal="center" vertical="center"/>
    </xf>
    <xf numFmtId="0" fontId="6" fillId="4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/>
    <xf numFmtId="0" fontId="6" fillId="4" borderId="26" xfId="0" applyFont="1" applyFill="1" applyBorder="1"/>
    <xf numFmtId="0" fontId="6" fillId="4" borderId="27" xfId="0" applyFont="1" applyFill="1" applyBorder="1"/>
    <xf numFmtId="0" fontId="6" fillId="4" borderId="28" xfId="0" applyFont="1" applyFill="1" applyBorder="1"/>
    <xf numFmtId="0" fontId="6" fillId="4" borderId="29" xfId="0" applyFont="1" applyFill="1" applyBorder="1"/>
    <xf numFmtId="0" fontId="6" fillId="4" borderId="30" xfId="0" applyFont="1" applyFill="1" applyBorder="1"/>
    <xf numFmtId="0" fontId="6" fillId="4" borderId="31" xfId="0" applyFont="1" applyFill="1" applyBorder="1"/>
    <xf numFmtId="0" fontId="6" fillId="4" borderId="32" xfId="0" applyFont="1" applyFill="1" applyBorder="1"/>
    <xf numFmtId="0" fontId="6" fillId="2" borderId="0" xfId="0" applyFont="1" applyFill="1" applyBorder="1"/>
    <xf numFmtId="0" fontId="6" fillId="0" borderId="0" xfId="0" applyFont="1" applyFill="1" applyBorder="1"/>
    <xf numFmtId="0" fontId="11" fillId="4" borderId="0" xfId="0" applyFont="1" applyFill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vertical="center"/>
    </xf>
    <xf numFmtId="14" fontId="18" fillId="0" borderId="14" xfId="0" applyNumberFormat="1" applyFont="1" applyBorder="1" applyAlignment="1">
      <alignment horizontal="center" vertical="center"/>
    </xf>
    <xf numFmtId="14" fontId="18" fillId="0" borderId="15" xfId="0" applyNumberFormat="1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14" fontId="18" fillId="0" borderId="17" xfId="0" applyNumberFormat="1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9" xfId="0" applyFont="1" applyBorder="1"/>
    <xf numFmtId="0" fontId="6" fillId="4" borderId="9" xfId="0" applyFont="1" applyFill="1" applyBorder="1"/>
    <xf numFmtId="0" fontId="6" fillId="4" borderId="5" xfId="0" applyFont="1" applyFill="1" applyBorder="1"/>
    <xf numFmtId="0" fontId="6" fillId="4" borderId="7" xfId="0" applyFont="1" applyFill="1" applyBorder="1"/>
    <xf numFmtId="0" fontId="6" fillId="4" borderId="11" xfId="0" applyFont="1" applyFill="1" applyBorder="1"/>
    <xf numFmtId="0" fontId="15" fillId="4" borderId="11" xfId="0" applyFont="1" applyFill="1" applyBorder="1" applyAlignment="1">
      <alignment vertical="center"/>
    </xf>
    <xf numFmtId="0" fontId="15" fillId="4" borderId="0" xfId="0" applyFont="1" applyFill="1" applyAlignment="1">
      <alignment vertical="center"/>
    </xf>
    <xf numFmtId="0" fontId="20" fillId="4" borderId="0" xfId="0" applyFont="1" applyFill="1" applyAlignment="1">
      <alignment horizontal="center" vertical="center"/>
    </xf>
    <xf numFmtId="0" fontId="6" fillId="4" borderId="12" xfId="0" applyFont="1" applyFill="1" applyBorder="1"/>
    <xf numFmtId="0" fontId="16" fillId="4" borderId="11" xfId="0" applyFont="1" applyFill="1" applyBorder="1"/>
    <xf numFmtId="0" fontId="16" fillId="4" borderId="0" xfId="0" applyFont="1" applyFill="1"/>
    <xf numFmtId="0" fontId="17" fillId="4" borderId="0" xfId="0" applyFont="1" applyFill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0" borderId="12" xfId="0" applyFont="1" applyBorder="1" applyAlignment="1">
      <alignment vertical="center"/>
    </xf>
    <xf numFmtId="0" fontId="6" fillId="4" borderId="8" xfId="0" applyFont="1" applyFill="1" applyBorder="1"/>
    <xf numFmtId="14" fontId="18" fillId="4" borderId="9" xfId="0" applyNumberFormat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vertical="center"/>
    </xf>
    <xf numFmtId="0" fontId="18" fillId="4" borderId="10" xfId="0" applyFont="1" applyFill="1" applyBorder="1" applyAlignment="1">
      <alignment horizontal="center" vertical="center"/>
    </xf>
    <xf numFmtId="14" fontId="18" fillId="4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vertical="center"/>
    </xf>
    <xf numFmtId="0" fontId="16" fillId="3" borderId="1" xfId="0" applyFont="1" applyFill="1" applyBorder="1" applyAlignment="1">
      <alignment vertical="center"/>
    </xf>
    <xf numFmtId="0" fontId="9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6" fillId="4" borderId="9" xfId="0" applyFont="1" applyFill="1" applyBorder="1" applyAlignment="1">
      <alignment vertical="center"/>
    </xf>
    <xf numFmtId="0" fontId="16" fillId="4" borderId="12" xfId="0" applyFont="1" applyFill="1" applyBorder="1" applyAlignment="1">
      <alignment vertical="center"/>
    </xf>
    <xf numFmtId="0" fontId="9" fillId="4" borderId="0" xfId="0" applyFont="1" applyFill="1"/>
    <xf numFmtId="0" fontId="9" fillId="4" borderId="0" xfId="0" applyFont="1" applyFill="1" applyAlignment="1">
      <alignment horizontal="center"/>
    </xf>
    <xf numFmtId="0" fontId="9" fillId="0" borderId="0" xfId="0" applyFont="1"/>
    <xf numFmtId="0" fontId="6" fillId="4" borderId="10" xfId="0" applyFont="1" applyFill="1" applyBorder="1"/>
    <xf numFmtId="0" fontId="22" fillId="4" borderId="0" xfId="0" applyFont="1" applyFill="1" applyBorder="1" applyAlignment="1">
      <alignment horizontal="center" vertical="center"/>
    </xf>
    <xf numFmtId="14" fontId="23" fillId="4" borderId="0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9" fillId="4" borderId="0" xfId="0" applyFont="1" applyFill="1" applyBorder="1" applyAlignment="1">
      <alignment vertical="center"/>
    </xf>
    <xf numFmtId="0" fontId="24" fillId="0" borderId="0" xfId="0" applyFont="1"/>
    <xf numFmtId="0" fontId="6" fillId="4" borderId="0" xfId="0" applyFont="1" applyFill="1"/>
    <xf numFmtId="0" fontId="18" fillId="0" borderId="15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0" xfId="0" applyFont="1"/>
    <xf numFmtId="0" fontId="6" fillId="0" borderId="20" xfId="0" applyFont="1" applyBorder="1"/>
    <xf numFmtId="0" fontId="6" fillId="0" borderId="21" xfId="0" applyFont="1" applyBorder="1"/>
    <xf numFmtId="0" fontId="10" fillId="0" borderId="0" xfId="0" applyFont="1"/>
    <xf numFmtId="14" fontId="11" fillId="2" borderId="11" xfId="0" applyNumberFormat="1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33" fillId="3" borderId="1" xfId="0" applyFont="1" applyFill="1" applyBorder="1" applyAlignment="1">
      <alignment horizontal="center" vertical="center"/>
    </xf>
    <xf numFmtId="14" fontId="33" fillId="3" borderId="1" xfId="0" applyNumberFormat="1" applyFont="1" applyFill="1" applyBorder="1" applyAlignment="1">
      <alignment horizontal="center" vertic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4" fontId="18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7" xfId="0" applyFont="1" applyBorder="1"/>
    <xf numFmtId="0" fontId="6" fillId="0" borderId="18" xfId="0" applyFont="1" applyBorder="1"/>
    <xf numFmtId="0" fontId="10" fillId="2" borderId="0" xfId="0" applyFont="1" applyFill="1"/>
    <xf numFmtId="0" fontId="6" fillId="4" borderId="0" xfId="0" applyFont="1" applyFill="1" applyAlignment="1">
      <alignment horizontal="center"/>
    </xf>
    <xf numFmtId="0" fontId="10" fillId="4" borderId="0" xfId="0" applyFont="1" applyFill="1"/>
    <xf numFmtId="0" fontId="6" fillId="0" borderId="0" xfId="0" applyFont="1"/>
    <xf numFmtId="0" fontId="7" fillId="2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/>
    </xf>
    <xf numFmtId="0" fontId="14" fillId="4" borderId="0" xfId="1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/>
    </xf>
    <xf numFmtId="0" fontId="31" fillId="10" borderId="0" xfId="0" applyFont="1" applyFill="1" applyBorder="1" applyAlignment="1">
      <alignment horizontal="center" vertical="center"/>
    </xf>
    <xf numFmtId="0" fontId="6" fillId="4" borderId="6" xfId="0" applyFont="1" applyFill="1" applyBorder="1"/>
    <xf numFmtId="0" fontId="28" fillId="10" borderId="0" xfId="0" applyFont="1" applyFill="1" applyBorder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6" fillId="4" borderId="5" xfId="0" applyFont="1" applyFill="1" applyBorder="1"/>
    <xf numFmtId="0" fontId="6" fillId="4" borderId="11" xfId="0" applyFont="1" applyFill="1" applyBorder="1"/>
    <xf numFmtId="0" fontId="6" fillId="4" borderId="8" xfId="0" applyFont="1" applyFill="1" applyBorder="1"/>
    <xf numFmtId="0" fontId="6" fillId="4" borderId="7" xfId="0" applyFont="1" applyFill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4" borderId="9" xfId="0" applyFont="1" applyFill="1" applyBorder="1"/>
    <xf numFmtId="0" fontId="6" fillId="4" borderId="0" xfId="0" applyFont="1" applyFill="1"/>
    <xf numFmtId="0" fontId="6" fillId="4" borderId="0" xfId="0" applyFont="1" applyFill="1" applyBorder="1"/>
    <xf numFmtId="0" fontId="9" fillId="4" borderId="0" xfId="0" applyFont="1" applyFill="1" applyBorder="1"/>
    <xf numFmtId="14" fontId="29" fillId="2" borderId="34" xfId="0" applyNumberFormat="1" applyFont="1" applyFill="1" applyBorder="1" applyAlignment="1">
      <alignment horizontal="center" vertical="center"/>
    </xf>
    <xf numFmtId="14" fontId="29" fillId="2" borderId="36" xfId="0" applyNumberFormat="1" applyFont="1" applyFill="1" applyBorder="1" applyAlignment="1">
      <alignment horizontal="center" vertical="center"/>
    </xf>
    <xf numFmtId="14" fontId="29" fillId="2" borderId="37" xfId="0" applyNumberFormat="1" applyFont="1" applyFill="1" applyBorder="1" applyAlignment="1">
      <alignment horizontal="center" vertical="center"/>
    </xf>
    <xf numFmtId="14" fontId="29" fillId="2" borderId="39" xfId="0" applyNumberFormat="1" applyFont="1" applyFill="1" applyBorder="1" applyAlignment="1">
      <alignment horizontal="center" vertical="center"/>
    </xf>
    <xf numFmtId="0" fontId="29" fillId="2" borderId="34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9" xfId="0" applyFont="1" applyFill="1" applyBorder="1" applyAlignment="1">
      <alignment horizontal="center" vertical="center"/>
    </xf>
    <xf numFmtId="0" fontId="12" fillId="3" borderId="35" xfId="0" applyFont="1" applyFill="1" applyBorder="1" applyAlignment="1">
      <alignment horizontal="center" vertical="center"/>
    </xf>
    <xf numFmtId="0" fontId="12" fillId="3" borderId="36" xfId="0" applyFont="1" applyFill="1" applyBorder="1" applyAlignment="1">
      <alignment horizontal="center" vertical="center"/>
    </xf>
    <xf numFmtId="0" fontId="12" fillId="3" borderId="38" xfId="0" applyFont="1" applyFill="1" applyBorder="1" applyAlignment="1">
      <alignment horizontal="center" vertical="center"/>
    </xf>
    <xf numFmtId="0" fontId="12" fillId="3" borderId="39" xfId="0" applyFont="1" applyFill="1" applyBorder="1" applyAlignment="1">
      <alignment horizontal="center" vertical="center"/>
    </xf>
    <xf numFmtId="0" fontId="12" fillId="3" borderId="34" xfId="0" applyFont="1" applyFill="1" applyBorder="1" applyAlignment="1">
      <alignment horizontal="center" vertical="center"/>
    </xf>
    <xf numFmtId="0" fontId="12" fillId="3" borderId="37" xfId="0" applyFont="1" applyFill="1" applyBorder="1" applyAlignment="1">
      <alignment horizontal="center" vertical="center"/>
    </xf>
    <xf numFmtId="14" fontId="9" fillId="3" borderId="35" xfId="0" applyNumberFormat="1" applyFont="1" applyFill="1" applyBorder="1" applyAlignment="1">
      <alignment horizontal="center" vertical="center"/>
    </xf>
    <xf numFmtId="0" fontId="9" fillId="3" borderId="35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25" fillId="4" borderId="40" xfId="0" applyFont="1" applyFill="1" applyBorder="1" applyAlignment="1">
      <alignment horizontal="center" vertical="center"/>
    </xf>
    <xf numFmtId="0" fontId="26" fillId="4" borderId="40" xfId="0" applyFont="1" applyFill="1" applyBorder="1" applyAlignment="1">
      <alignment horizontal="center" vertical="center"/>
    </xf>
    <xf numFmtId="0" fontId="30" fillId="2" borderId="5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0" fontId="30" fillId="2" borderId="7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30" fillId="2" borderId="1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7" fillId="2" borderId="6" xfId="0" applyFont="1" applyFill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32" fillId="2" borderId="5" xfId="0" applyFont="1" applyFill="1" applyBorder="1" applyAlignment="1">
      <alignment horizontal="center" vertical="center"/>
    </xf>
    <xf numFmtId="0" fontId="32" fillId="2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16" fillId="4" borderId="0" xfId="0" applyFont="1" applyFill="1" applyBorder="1"/>
    <xf numFmtId="0" fontId="16" fillId="4" borderId="0" xfId="0" applyFont="1" applyFill="1"/>
    <xf numFmtId="0" fontId="16" fillId="4" borderId="12" xfId="0" applyFont="1" applyFill="1" applyBorder="1"/>
    <xf numFmtId="0" fontId="15" fillId="4" borderId="11" xfId="0" applyFont="1" applyFill="1" applyBorder="1" applyAlignment="1">
      <alignment vertical="center"/>
    </xf>
    <xf numFmtId="0" fontId="15" fillId="4" borderId="0" xfId="0" applyFont="1" applyFill="1" applyBorder="1" applyAlignment="1">
      <alignment vertical="center"/>
    </xf>
    <xf numFmtId="0" fontId="19" fillId="3" borderId="22" xfId="0" applyFont="1" applyFill="1" applyBorder="1" applyAlignment="1">
      <alignment horizontal="center" vertical="center"/>
    </xf>
    <xf numFmtId="0" fontId="19" fillId="3" borderId="23" xfId="0" applyFont="1" applyFill="1" applyBorder="1" applyAlignment="1">
      <alignment horizontal="center" vertical="center"/>
    </xf>
    <xf numFmtId="0" fontId="19" fillId="3" borderId="24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6" fillId="3" borderId="11" xfId="0" applyFont="1" applyFill="1" applyBorder="1"/>
    <xf numFmtId="0" fontId="6" fillId="3" borderId="0" xfId="0" applyFont="1" applyFill="1"/>
    <xf numFmtId="0" fontId="6" fillId="3" borderId="12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16" fillId="3" borderId="5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0" borderId="25" xfId="0" applyFont="1" applyBorder="1"/>
    <xf numFmtId="0" fontId="6" fillId="0" borderId="0" xfId="0" applyFont="1"/>
    <xf numFmtId="0" fontId="6" fillId="0" borderId="12" xfId="0" applyFont="1" applyBorder="1"/>
    <xf numFmtId="0" fontId="6" fillId="0" borderId="10" xfId="0" applyFont="1" applyBorder="1"/>
    <xf numFmtId="0" fontId="16" fillId="4" borderId="11" xfId="0" applyFont="1" applyFill="1" applyBorder="1"/>
    <xf numFmtId="0" fontId="6" fillId="0" borderId="0" xfId="0" applyFont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0" xfId="0" applyFont="1" applyBorder="1"/>
    <xf numFmtId="0" fontId="6" fillId="0" borderId="21" xfId="0" applyFont="1" applyBorder="1"/>
    <xf numFmtId="0" fontId="16" fillId="3" borderId="22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14" fontId="18" fillId="0" borderId="0" xfId="0" applyNumberFormat="1" applyFont="1" applyAlignment="1">
      <alignment horizontal="center" vertical="center"/>
    </xf>
    <xf numFmtId="14" fontId="18" fillId="0" borderId="18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14" fontId="11" fillId="2" borderId="5" xfId="0" applyNumberFormat="1" applyFont="1" applyFill="1" applyBorder="1" applyAlignment="1">
      <alignment horizontal="center" vertical="center"/>
    </xf>
    <xf numFmtId="14" fontId="11" fillId="2" borderId="6" xfId="0" applyNumberFormat="1" applyFont="1" applyFill="1" applyBorder="1" applyAlignment="1">
      <alignment horizontal="center" vertical="center"/>
    </xf>
    <xf numFmtId="14" fontId="11" fillId="2" borderId="7" xfId="0" applyNumberFormat="1" applyFont="1" applyFill="1" applyBorder="1" applyAlignment="1">
      <alignment horizontal="center" vertical="center"/>
    </xf>
    <xf numFmtId="14" fontId="11" fillId="2" borderId="8" xfId="0" applyNumberFormat="1" applyFont="1" applyFill="1" applyBorder="1" applyAlignment="1">
      <alignment horizontal="center" vertical="center"/>
    </xf>
    <xf numFmtId="14" fontId="11" fillId="2" borderId="9" xfId="0" applyNumberFormat="1" applyFont="1" applyFill="1" applyBorder="1" applyAlignment="1">
      <alignment horizontal="center" vertical="center"/>
    </xf>
    <xf numFmtId="14" fontId="11" fillId="2" borderId="10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center"/>
    </xf>
    <xf numFmtId="14" fontId="34" fillId="3" borderId="0" xfId="0" applyNumberFormat="1" applyFont="1" applyFill="1" applyAlignment="1">
      <alignment horizontal="center"/>
    </xf>
    <xf numFmtId="0" fontId="34" fillId="11" borderId="0" xfId="0" applyFont="1" applyFill="1" applyAlignment="1">
      <alignment horizontal="center"/>
    </xf>
    <xf numFmtId="14" fontId="6" fillId="0" borderId="0" xfId="0" applyNumberFormat="1" applyFont="1"/>
    <xf numFmtId="0" fontId="35" fillId="2" borderId="5" xfId="0" applyFont="1" applyFill="1" applyBorder="1" applyAlignment="1">
      <alignment horizontal="center" vertical="center"/>
    </xf>
    <xf numFmtId="0" fontId="35" fillId="2" borderId="6" xfId="0" applyFont="1" applyFill="1" applyBorder="1" applyAlignment="1">
      <alignment horizontal="center" vertical="center"/>
    </xf>
    <xf numFmtId="0" fontId="35" fillId="2" borderId="7" xfId="0" applyFont="1" applyFill="1" applyBorder="1" applyAlignment="1">
      <alignment horizontal="center" vertical="center"/>
    </xf>
    <xf numFmtId="0" fontId="35" fillId="2" borderId="8" xfId="0" applyFont="1" applyFill="1" applyBorder="1" applyAlignment="1">
      <alignment horizontal="center" vertical="center"/>
    </xf>
    <xf numFmtId="0" fontId="35" fillId="2" borderId="9" xfId="0" applyFont="1" applyFill="1" applyBorder="1" applyAlignment="1">
      <alignment horizontal="center" vertical="center"/>
    </xf>
    <xf numFmtId="0" fontId="35" fillId="2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ova"/>
        <family val="2"/>
        <scheme val="none"/>
      </font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ill>
        <patternFill>
          <bgColor theme="3" tint="0.59996337778862885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9" formatCode="dd/mm/yyyy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center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15ED0AD-F4B7-4266-800C-FDB808FD270B}"/>
  </tableStyles>
  <colors>
    <mruColors>
      <color rgb="FF9999FF"/>
      <color rgb="FFB5E3D4"/>
      <color rgb="FFCCBBFB"/>
      <color rgb="FFBA6F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Quick Find'!A1"/><Relationship Id="rId1" Type="http://schemas.openxmlformats.org/officeDocument/2006/relationships/hyperlink" Target="#'Add New Colleague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Skill Set'!A1"/><Relationship Id="rId2" Type="http://schemas.openxmlformats.org/officeDocument/2006/relationships/hyperlink" Target="#'Performance Tracker'!A1"/><Relationship Id="rId1" Type="http://schemas.openxmlformats.org/officeDocument/2006/relationships/hyperlink" Target="#' Absence Tracker'!A1"/><Relationship Id="rId4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Colleague Profile'!A1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0</xdr:rowOff>
    </xdr:from>
    <xdr:to>
      <xdr:col>5</xdr:col>
      <xdr:colOff>11906</xdr:colOff>
      <xdr:row>13</xdr:row>
      <xdr:rowOff>11906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FD4E3E-A10D-0E24-47B0-EB2A512065EA}"/>
            </a:ext>
          </a:extLst>
        </xdr:cNvPr>
        <xdr:cNvSpPr/>
      </xdr:nvSpPr>
      <xdr:spPr>
        <a:xfrm>
          <a:off x="1797844" y="1964531"/>
          <a:ext cx="1833562" cy="214313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Add New Colleague</a:t>
          </a:r>
        </a:p>
      </xdr:txBody>
    </xdr:sp>
    <xdr:clientData/>
  </xdr:twoCellAnchor>
  <xdr:twoCellAnchor>
    <xdr:from>
      <xdr:col>11</xdr:col>
      <xdr:colOff>595312</xdr:colOff>
      <xdr:row>11</xdr:row>
      <xdr:rowOff>166687</xdr:rowOff>
    </xdr:from>
    <xdr:to>
      <xdr:col>14</xdr:col>
      <xdr:colOff>23812</xdr:colOff>
      <xdr:row>13</xdr:row>
      <xdr:rowOff>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EA8261-FAC7-6D7E-55C4-0B2BF3966E07}"/>
            </a:ext>
          </a:extLst>
        </xdr:cNvPr>
        <xdr:cNvSpPr/>
      </xdr:nvSpPr>
      <xdr:spPr>
        <a:xfrm>
          <a:off x="7858125" y="1928812"/>
          <a:ext cx="1250156" cy="214313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+mn-lt"/>
              <a:ea typeface="+mn-ea"/>
              <a:cs typeface="+mn-cs"/>
            </a:rPr>
            <a:t>Quick Find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11907</xdr:colOff>
      <xdr:row>17</xdr:row>
      <xdr:rowOff>166689</xdr:rowOff>
    </xdr:from>
    <xdr:to>
      <xdr:col>5</xdr:col>
      <xdr:colOff>95248</xdr:colOff>
      <xdr:row>19</xdr:row>
      <xdr:rowOff>52754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09DD5C-9AB8-49A7-A574-52DABCF1D561}"/>
            </a:ext>
          </a:extLst>
        </xdr:cNvPr>
        <xdr:cNvSpPr/>
      </xdr:nvSpPr>
      <xdr:spPr>
        <a:xfrm>
          <a:off x="1969661" y="3267443"/>
          <a:ext cx="2328310" cy="272926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 To Main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421341</xdr:colOff>
          <xdr:row>17</xdr:row>
          <xdr:rowOff>132594</xdr:rowOff>
        </xdr:from>
        <xdr:to>
          <xdr:col>8</xdr:col>
          <xdr:colOff>242048</xdr:colOff>
          <xdr:row>19</xdr:row>
          <xdr:rowOff>15012</xdr:rowOff>
        </xdr:to>
        <xdr:pic macro="[0]!add_colleague_m">
          <xdr:nvPicPr>
            <xdr:cNvPr id="4" name="Picture 3">
              <a:extLst>
                <a:ext uri="{FF2B5EF4-FFF2-40B4-BE49-F238E27FC236}">
                  <a16:creationId xmlns:a16="http://schemas.microsoft.com/office/drawing/2014/main" id="{E0EE8EEA-2DB0-6697-5367-1BE30283D8C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IT$1" spid="_x0000_s929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558117" y="3180594"/>
              <a:ext cx="2088778" cy="276865"/>
            </a:xfrm>
            <a:prstGeom prst="rect">
              <a:avLst/>
            </a:prstGeom>
            <a:noFill/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8</xdr:row>
      <xdr:rowOff>9525</xdr:rowOff>
    </xdr:from>
    <xdr:to>
      <xdr:col>7</xdr:col>
      <xdr:colOff>19050</xdr:colOff>
      <xdr:row>10</xdr:row>
      <xdr:rowOff>38100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50AA64-45C2-E9CA-0B81-15FCE4AE6006}"/>
            </a:ext>
          </a:extLst>
        </xdr:cNvPr>
        <xdr:cNvSpPr/>
      </xdr:nvSpPr>
      <xdr:spPr>
        <a:xfrm>
          <a:off x="3095625" y="1581150"/>
          <a:ext cx="3295650" cy="428625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Absence Tracker</a:t>
          </a:r>
        </a:p>
      </xdr:txBody>
    </xdr:sp>
    <xdr:clientData/>
  </xdr:twoCellAnchor>
  <xdr:twoCellAnchor>
    <xdr:from>
      <xdr:col>3</xdr:col>
      <xdr:colOff>1066800</xdr:colOff>
      <xdr:row>10</xdr:row>
      <xdr:rowOff>161925</xdr:rowOff>
    </xdr:from>
    <xdr:to>
      <xdr:col>7</xdr:col>
      <xdr:colOff>19050</xdr:colOff>
      <xdr:row>13</xdr:row>
      <xdr:rowOff>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3BE559-8C7D-4346-ABE8-348072DF68D8}"/>
            </a:ext>
          </a:extLst>
        </xdr:cNvPr>
        <xdr:cNvSpPr/>
      </xdr:nvSpPr>
      <xdr:spPr>
        <a:xfrm>
          <a:off x="3095625" y="2133600"/>
          <a:ext cx="3295650" cy="41910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Performance Tracker</a:t>
          </a:r>
        </a:p>
      </xdr:txBody>
    </xdr:sp>
    <xdr:clientData/>
  </xdr:twoCellAnchor>
  <xdr:twoCellAnchor>
    <xdr:from>
      <xdr:col>3</xdr:col>
      <xdr:colOff>1066800</xdr:colOff>
      <xdr:row>13</xdr:row>
      <xdr:rowOff>123825</xdr:rowOff>
    </xdr:from>
    <xdr:to>
      <xdr:col>7</xdr:col>
      <xdr:colOff>19050</xdr:colOff>
      <xdr:row>15</xdr:row>
      <xdr:rowOff>161925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48F532-E203-4A94-B175-7460D9D7C870}"/>
            </a:ext>
          </a:extLst>
        </xdr:cNvPr>
        <xdr:cNvSpPr/>
      </xdr:nvSpPr>
      <xdr:spPr>
        <a:xfrm>
          <a:off x="3095625" y="2676525"/>
          <a:ext cx="3295650" cy="41910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Skill Set</a:t>
          </a:r>
        </a:p>
      </xdr:txBody>
    </xdr:sp>
    <xdr:clientData/>
  </xdr:twoCellAnchor>
  <xdr:twoCellAnchor>
    <xdr:from>
      <xdr:col>2</xdr:col>
      <xdr:colOff>0</xdr:colOff>
      <xdr:row>17</xdr:row>
      <xdr:rowOff>190500</xdr:rowOff>
    </xdr:from>
    <xdr:to>
      <xdr:col>3</xdr:col>
      <xdr:colOff>1076325</xdr:colOff>
      <xdr:row>18</xdr:row>
      <xdr:rowOff>190500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9396164-32A0-4DD0-6396-771E570A670F}"/>
            </a:ext>
          </a:extLst>
        </xdr:cNvPr>
        <xdr:cNvSpPr/>
      </xdr:nvSpPr>
      <xdr:spPr>
        <a:xfrm>
          <a:off x="942975" y="3505200"/>
          <a:ext cx="2162175" cy="20002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 To Main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797719</xdr:colOff>
      <xdr:row>3</xdr:row>
      <xdr:rowOff>166689</xdr:rowOff>
    </xdr:from>
    <xdr:to>
      <xdr:col>9</xdr:col>
      <xdr:colOff>0</xdr:colOff>
      <xdr:row>6</xdr:row>
      <xdr:rowOff>11907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C6595-5B51-7C67-1290-7455C3EA0CB2}"/>
            </a:ext>
          </a:extLst>
        </xdr:cNvPr>
        <xdr:cNvSpPr/>
      </xdr:nvSpPr>
      <xdr:spPr>
        <a:xfrm>
          <a:off x="7000875" y="369095"/>
          <a:ext cx="2464594" cy="440531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Main Dashboard</a:t>
          </a:r>
        </a:p>
      </xdr:txBody>
    </xdr:sp>
    <xdr:clientData/>
  </xdr:twoCellAnchor>
  <xdr:twoCellAnchor>
    <xdr:from>
      <xdr:col>1</xdr:col>
      <xdr:colOff>333375</xdr:colOff>
      <xdr:row>6</xdr:row>
      <xdr:rowOff>95250</xdr:rowOff>
    </xdr:from>
    <xdr:to>
      <xdr:col>4</xdr:col>
      <xdr:colOff>1733550</xdr:colOff>
      <xdr:row>8</xdr:row>
      <xdr:rowOff>9525</xdr:rowOff>
    </xdr:to>
    <xdr:sp macro="" textlink="'Colleague Profile'!D3:I4">
      <xdr:nvSpPr>
        <xdr:cNvPr id="2" name="Rectangl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738F8D-74CE-A5E0-BDFA-D529D0F7F30D}"/>
            </a:ext>
          </a:extLst>
        </xdr:cNvPr>
        <xdr:cNvSpPr/>
      </xdr:nvSpPr>
      <xdr:spPr>
        <a:xfrm>
          <a:off x="962025" y="1190625"/>
          <a:ext cx="3848100" cy="2762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1A7111C-4F71-4434-8519-6316400FBC41}" type="TxLink">
            <a:rPr lang="en-US" sz="1400" b="0" i="0" u="none" strike="noStrike">
              <a:solidFill>
                <a:srgbClr val="FFFFFF"/>
              </a:solidFill>
              <a:latin typeface="Arial Nova"/>
            </a:rPr>
            <a:pPr algn="ctr"/>
            <a:t>Martin</a:t>
          </a:fld>
          <a:endParaRPr lang="ru-RU" sz="1000"/>
        </a:p>
      </xdr:txBody>
    </xdr:sp>
    <xdr:clientData/>
  </xdr:twoCellAnchor>
  <xdr:twoCellAnchor>
    <xdr:from>
      <xdr:col>14</xdr:col>
      <xdr:colOff>104776</xdr:colOff>
      <xdr:row>21</xdr:row>
      <xdr:rowOff>123825</xdr:rowOff>
    </xdr:from>
    <xdr:to>
      <xdr:col>17</xdr:col>
      <xdr:colOff>123826</xdr:colOff>
      <xdr:row>24</xdr:row>
      <xdr:rowOff>9525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14CCF4-D283-4503-A76C-C0540EE6298D}"/>
            </a:ext>
          </a:extLst>
        </xdr:cNvPr>
        <xdr:cNvSpPr/>
      </xdr:nvSpPr>
      <xdr:spPr>
        <a:xfrm>
          <a:off x="12925426" y="3819525"/>
          <a:ext cx="1714500" cy="400050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Add</a:t>
          </a:r>
          <a:r>
            <a:rPr lang="en-US" sz="1800" b="1" baseline="0"/>
            <a:t> Note</a:t>
          </a:r>
          <a:endParaRPr lang="ru-RU" sz="18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607219</xdr:colOff>
      <xdr:row>2</xdr:row>
      <xdr:rowOff>1</xdr:rowOff>
    </xdr:from>
    <xdr:to>
      <xdr:col>9</xdr:col>
      <xdr:colOff>0</xdr:colOff>
      <xdr:row>4</xdr:row>
      <xdr:rowOff>47626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99301-AE00-455E-B614-45E1AFC21222}"/>
            </a:ext>
          </a:extLst>
        </xdr:cNvPr>
        <xdr:cNvSpPr/>
      </xdr:nvSpPr>
      <xdr:spPr>
        <a:xfrm>
          <a:off x="6810375" y="404814"/>
          <a:ext cx="2464594" cy="440531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Main 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940593</xdr:colOff>
      <xdr:row>1</xdr:row>
      <xdr:rowOff>166687</xdr:rowOff>
    </xdr:from>
    <xdr:to>
      <xdr:col>10</xdr:col>
      <xdr:colOff>23811</xdr:colOff>
      <xdr:row>3</xdr:row>
      <xdr:rowOff>190499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D4A29B-C047-C3FE-B586-AAA9C0166442}"/>
            </a:ext>
          </a:extLst>
        </xdr:cNvPr>
        <xdr:cNvSpPr/>
      </xdr:nvSpPr>
      <xdr:spPr>
        <a:xfrm>
          <a:off x="6750843" y="369093"/>
          <a:ext cx="1452562" cy="416719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Main 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16</xdr:row>
      <xdr:rowOff>104775</xdr:rowOff>
    </xdr:from>
    <xdr:to>
      <xdr:col>4</xdr:col>
      <xdr:colOff>769144</xdr:colOff>
      <xdr:row>17</xdr:row>
      <xdr:rowOff>142875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6C4DB4-1AEE-4EFF-9B2A-DCFC1188630E}"/>
            </a:ext>
          </a:extLst>
        </xdr:cNvPr>
        <xdr:cNvSpPr/>
      </xdr:nvSpPr>
      <xdr:spPr>
        <a:xfrm>
          <a:off x="1419225" y="3190875"/>
          <a:ext cx="2464594" cy="2286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 To Main 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122E46-4C66-42A2-997F-CAF4CEC54AEE}" name="Main_DB" displayName="Main_DB" ref="A1:C3" totalsRowShown="0" headerRowDxfId="23" dataDxfId="22" tableBorderDxfId="21">
  <autoFilter ref="A1:C3" xr:uid="{F2122E46-4C66-42A2-997F-CAF4CEC54AEE}"/>
  <tableColumns count="3">
    <tableColumn id="1" xr3:uid="{E90C9DE3-5E26-4B1A-8582-8467E5C682E3}" name="Name" dataDxfId="20" totalsRowDxfId="19"/>
    <tableColumn id="2" xr3:uid="{A652DA1B-BA0A-40B7-BC63-A298C3FE9217}" name="EAN" dataDxfId="18" totalsRowDxfId="17"/>
    <tableColumn id="3" xr3:uid="{22E32227-F87B-4F05-93D0-9BC23BF589D0}" name="Start Date" dataDxfId="16" totalsRowDxfId="1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18417A-E339-423D-8213-F0A886E99FD3}" name="Table2" displayName="Table2" ref="G1:N2" insertRow="1" totalsRowShown="0" headerRowDxfId="0" dataDxfId="1">
  <autoFilter ref="G1:N2" xr:uid="{7118417A-E339-423D-8213-F0A886E99FD3}"/>
  <tableColumns count="8">
    <tableColumn id="1" xr3:uid="{450EAB7E-2992-4B63-B7F3-1F7017739410}" name="EAN" dataDxfId="9"/>
    <tableColumn id="2" xr3:uid="{5C932514-B4BB-4553-8B17-2E0059FB0972}" name="Colleague Name" dataDxfId="8"/>
    <tableColumn id="3" xr3:uid="{C6ADABE9-5C81-4DC0-A6BC-DBDCA614E1A5}" name="Absence Date" dataDxfId="7"/>
    <tableColumn id="4" xr3:uid="{4DC91319-AC0D-4CC3-A2B5-BF1C7B4585CB}" name="Total Days" dataDxfId="6"/>
    <tableColumn id="5" xr3:uid="{6EC6B89E-55F4-4467-BAF1-55D6CF1056AE}" name="Absence Reason" dataDxfId="5"/>
    <tableColumn id="6" xr3:uid="{910B61AB-A749-4CE7-A377-29C3D3D2D123}" name="RTW Done" dataDxfId="4"/>
    <tableColumn id="7" xr3:uid="{D24C2745-B04F-40C8-86C1-83178BE31385}" name="Trigger Point Hit" dataDxfId="3"/>
    <tableColumn id="8" xr3:uid="{2126FC4A-3F81-4794-BCA8-9C203E703A51}" name="Warning Issued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6A83E-619E-440C-9624-2DF19A716B3B}">
  <sheetPr codeName="Sheet1">
    <tabColor rgb="FFFF0000"/>
  </sheetPr>
  <dimension ref="A1:N3"/>
  <sheetViews>
    <sheetView showGridLines="0" workbookViewId="0">
      <selection activeCell="G7" sqref="G7"/>
    </sheetView>
  </sheetViews>
  <sheetFormatPr defaultColWidth="9.109375" defaultRowHeight="13.8" x14ac:dyDescent="0.25"/>
  <cols>
    <col min="1" max="1" width="31.6640625" style="88" customWidth="1"/>
    <col min="2" max="2" width="30.109375" style="88" customWidth="1"/>
    <col min="3" max="3" width="19.5546875" style="89" customWidth="1"/>
    <col min="4" max="6" width="9.109375" style="1"/>
    <col min="7" max="7" width="19.88671875" style="1" customWidth="1"/>
    <col min="8" max="8" width="20.44140625" style="1" customWidth="1"/>
    <col min="9" max="11" width="19.88671875" style="1" customWidth="1"/>
    <col min="12" max="12" width="15.109375" style="1" customWidth="1"/>
    <col min="13" max="14" width="19.88671875" style="1" customWidth="1"/>
    <col min="15" max="16384" width="9.109375" style="1"/>
  </cols>
  <sheetData>
    <row r="1" spans="1:14" ht="16.5" customHeight="1" x14ac:dyDescent="0.25">
      <c r="A1" s="86" t="s">
        <v>61</v>
      </c>
      <c r="B1" s="86" t="s">
        <v>62</v>
      </c>
      <c r="C1" s="87" t="s">
        <v>63</v>
      </c>
      <c r="G1" s="101" t="s">
        <v>62</v>
      </c>
      <c r="H1" s="101" t="s">
        <v>1</v>
      </c>
      <c r="I1" s="101" t="s">
        <v>67</v>
      </c>
      <c r="J1" s="101" t="s">
        <v>68</v>
      </c>
      <c r="K1" s="101" t="s">
        <v>69</v>
      </c>
      <c r="L1" s="101" t="s">
        <v>70</v>
      </c>
      <c r="M1" s="101" t="s">
        <v>71</v>
      </c>
      <c r="N1" s="101" t="s">
        <v>72</v>
      </c>
    </row>
    <row r="2" spans="1:14" x14ac:dyDescent="0.25">
      <c r="A2" s="88" t="s">
        <v>65</v>
      </c>
      <c r="B2" s="88">
        <v>150015002</v>
      </c>
      <c r="C2" s="89">
        <v>44785</v>
      </c>
    </row>
    <row r="3" spans="1:14" x14ac:dyDescent="0.25">
      <c r="A3" s="88" t="s">
        <v>64</v>
      </c>
      <c r="B3" s="88">
        <v>150015003</v>
      </c>
      <c r="C3" s="89">
        <v>44815</v>
      </c>
    </row>
  </sheetData>
  <conditionalFormatting sqref="B2:B3">
    <cfRule type="duplicateValues" dxfId="14" priority="10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EC1DE-1976-4D19-BD01-B05AFC20F186}">
  <sheetPr codeName="Sheet2">
    <tabColor theme="4" tint="-0.499984740745262"/>
  </sheetPr>
  <dimension ref="A1:P17"/>
  <sheetViews>
    <sheetView showGridLines="0" zoomScale="85" zoomScaleNormal="85" workbookViewId="0">
      <selection activeCell="F29" sqref="F29"/>
    </sheetView>
  </sheetViews>
  <sheetFormatPr defaultColWidth="9.109375" defaultRowHeight="13.8" x14ac:dyDescent="0.25"/>
  <cols>
    <col min="1" max="1" width="7.109375" style="16" customWidth="1"/>
    <col min="2" max="2" width="4.88671875" style="16" customWidth="1"/>
    <col min="3" max="14" width="9.109375" style="16"/>
    <col min="15" max="15" width="5" style="16" customWidth="1"/>
    <col min="16" max="16" width="11.5546875" style="16" customWidth="1"/>
    <col min="17" max="16384" width="9.109375" style="16"/>
  </cols>
  <sheetData>
    <row r="1" spans="1:16" x14ac:dyDescent="0.25">
      <c r="A1" s="3"/>
      <c r="B1" s="3"/>
      <c r="C1" s="105" t="s">
        <v>66</v>
      </c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3"/>
      <c r="P1" s="3"/>
    </row>
    <row r="2" spans="1:16" x14ac:dyDescent="0.25">
      <c r="A2" s="3"/>
      <c r="B2" s="3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3"/>
      <c r="P2" s="3"/>
    </row>
    <row r="3" spans="1:16" ht="10.199999999999999" customHeight="1" x14ac:dyDescent="0.25">
      <c r="A3" s="3"/>
      <c r="B3" s="3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3"/>
      <c r="P3" s="3"/>
    </row>
    <row r="4" spans="1:16" ht="14.4" thickBot="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3"/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9"/>
      <c r="P5" s="3"/>
    </row>
    <row r="6" spans="1:16" ht="15" customHeight="1" x14ac:dyDescent="0.25">
      <c r="A6" s="3"/>
      <c r="B6" s="20"/>
      <c r="C6" s="108" t="s">
        <v>11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21"/>
      <c r="P6" s="3"/>
    </row>
    <row r="7" spans="1:16" ht="15.75" customHeight="1" x14ac:dyDescent="0.25">
      <c r="A7" s="3"/>
      <c r="B7" s="20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21"/>
      <c r="P7" s="3"/>
    </row>
    <row r="8" spans="1:16" x14ac:dyDescent="0.25">
      <c r="A8" s="3"/>
      <c r="B8" s="20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21"/>
      <c r="P8" s="3"/>
    </row>
    <row r="9" spans="1:16" ht="15" customHeight="1" x14ac:dyDescent="0.25">
      <c r="A9" s="3"/>
      <c r="B9" s="20"/>
      <c r="C9" s="14"/>
      <c r="D9" s="110" t="s">
        <v>65</v>
      </c>
      <c r="E9" s="110"/>
      <c r="F9" s="110"/>
      <c r="G9" s="110"/>
      <c r="H9" s="110"/>
      <c r="I9" s="110"/>
      <c r="J9" s="110"/>
      <c r="K9" s="110"/>
      <c r="L9" s="110"/>
      <c r="M9" s="110"/>
      <c r="N9" s="14"/>
      <c r="O9" s="21"/>
      <c r="P9" s="3"/>
    </row>
    <row r="10" spans="1:16" ht="10.5" customHeight="1" x14ac:dyDescent="0.25">
      <c r="A10" s="3"/>
      <c r="B10" s="20"/>
      <c r="C10" s="14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4"/>
      <c r="O10" s="21"/>
      <c r="P10" s="3"/>
    </row>
    <row r="11" spans="1:16" x14ac:dyDescent="0.25">
      <c r="A11" s="3"/>
      <c r="B11" s="20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21"/>
      <c r="P11" s="3"/>
    </row>
    <row r="12" spans="1:16" x14ac:dyDescent="0.25">
      <c r="A12" s="3"/>
      <c r="B12" s="20"/>
      <c r="C12" s="106"/>
      <c r="D12" s="106"/>
      <c r="E12" s="106"/>
      <c r="F12" s="14"/>
      <c r="G12" s="14"/>
      <c r="H12" s="14"/>
      <c r="I12" s="14"/>
      <c r="J12" s="14"/>
      <c r="K12" s="14"/>
      <c r="L12" s="14"/>
      <c r="M12" s="14"/>
      <c r="N12" s="14"/>
      <c r="O12" s="21"/>
      <c r="P12" s="3"/>
    </row>
    <row r="13" spans="1:16" x14ac:dyDescent="0.25">
      <c r="A13" s="3"/>
      <c r="B13" s="20"/>
      <c r="C13" s="107"/>
      <c r="D13" s="107"/>
      <c r="E13" s="107"/>
      <c r="F13" s="14"/>
      <c r="G13" s="14"/>
      <c r="H13" s="14"/>
      <c r="I13" s="14"/>
      <c r="J13" s="14"/>
      <c r="K13" s="14"/>
      <c r="L13" s="14"/>
      <c r="M13" s="109"/>
      <c r="N13" s="109"/>
      <c r="O13" s="21"/>
      <c r="P13" s="3"/>
    </row>
    <row r="14" spans="1:16" ht="14.4" thickBot="1" x14ac:dyDescent="0.3">
      <c r="A14" s="3"/>
      <c r="B14" s="22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"/>
      <c r="P14" s="3"/>
    </row>
    <row r="15" spans="1:16" x14ac:dyDescent="0.25">
      <c r="A15" s="3"/>
      <c r="B15" s="24"/>
      <c r="C15" s="24"/>
      <c r="D15" s="24"/>
      <c r="E15" s="3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3"/>
    </row>
    <row r="16" spans="1:16" s="25" customFormat="1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7" spans="1:16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</sheetData>
  <mergeCells count="6">
    <mergeCell ref="C1:N3"/>
    <mergeCell ref="C12:E12"/>
    <mergeCell ref="C13:E13"/>
    <mergeCell ref="C6:N7"/>
    <mergeCell ref="M13:N13"/>
    <mergeCell ref="D9:M10"/>
  </mergeCells>
  <dataValidations count="1">
    <dataValidation type="list" allowBlank="1" showInputMessage="1" showErrorMessage="1" errorTitle="No Colleague!" error="There is no colleague with this name!" promptTitle="Info" prompt="Drop down menu that you can select for the colleague through names!" sqref="D9:M10" xr:uid="{D9A5D97A-F943-4F84-836E-C1B9027B99E3}">
      <formula1>rngName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3D991-C94B-4076-9DF6-AF0F6B6D3E58}">
  <sheetPr codeName="Sheet3">
    <tabColor theme="4" tint="-0.499984740745262"/>
  </sheetPr>
  <dimension ref="A1:IU21"/>
  <sheetViews>
    <sheetView showGridLines="0" zoomScale="85" zoomScaleNormal="85" workbookViewId="0">
      <selection activeCell="L31" sqref="L31"/>
    </sheetView>
  </sheetViews>
  <sheetFormatPr defaultColWidth="9.109375" defaultRowHeight="13.8" x14ac:dyDescent="0.25"/>
  <cols>
    <col min="1" max="1" width="5.5546875" style="1" customWidth="1"/>
    <col min="2" max="2" width="5" style="1" customWidth="1"/>
    <col min="3" max="3" width="14.33203125" style="1" customWidth="1"/>
    <col min="4" max="4" width="16.33203125" style="1" customWidth="1"/>
    <col min="5" max="5" width="16.44140625" style="1" customWidth="1"/>
    <col min="6" max="6" width="17.109375" style="1" customWidth="1"/>
    <col min="7" max="7" width="14.33203125" style="1" customWidth="1"/>
    <col min="8" max="8" width="18.6640625" style="1" customWidth="1"/>
    <col min="9" max="9" width="4.44140625" style="1" customWidth="1"/>
    <col min="10" max="10" width="5" style="1" customWidth="1"/>
    <col min="11" max="16384" width="9.109375" style="1"/>
  </cols>
  <sheetData>
    <row r="1" spans="1:255" ht="14.4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AC1" s="85">
        <f>F7</f>
        <v>0</v>
      </c>
      <c r="IT1" s="112" t="s">
        <v>0</v>
      </c>
      <c r="IU1" s="113"/>
    </row>
    <row r="2" spans="1:255" ht="14.4" thickBot="1" x14ac:dyDescent="0.3">
      <c r="A2" s="3"/>
      <c r="B2" s="114"/>
      <c r="C2" s="111"/>
      <c r="D2" s="111"/>
      <c r="E2" s="111"/>
      <c r="F2" s="111"/>
      <c r="G2" s="111"/>
      <c r="H2" s="111"/>
      <c r="I2" s="111"/>
      <c r="J2" s="117"/>
      <c r="K2" s="3"/>
      <c r="AC2" s="85">
        <f>F11</f>
        <v>0</v>
      </c>
    </row>
    <row r="3" spans="1:255" x14ac:dyDescent="0.25">
      <c r="A3" s="3"/>
      <c r="B3" s="115"/>
      <c r="C3" s="146" t="s">
        <v>29</v>
      </c>
      <c r="D3" s="147"/>
      <c r="E3" s="147"/>
      <c r="F3" s="147"/>
      <c r="G3" s="147"/>
      <c r="H3" s="147"/>
      <c r="I3" s="148"/>
      <c r="J3" s="118"/>
      <c r="K3" s="3"/>
      <c r="AC3" s="85">
        <f>F15</f>
        <v>0</v>
      </c>
    </row>
    <row r="4" spans="1:255" ht="14.4" thickBot="1" x14ac:dyDescent="0.3">
      <c r="A4" s="3"/>
      <c r="B4" s="115"/>
      <c r="C4" s="149"/>
      <c r="D4" s="150"/>
      <c r="E4" s="150"/>
      <c r="F4" s="150"/>
      <c r="G4" s="150"/>
      <c r="H4" s="150"/>
      <c r="I4" s="151"/>
      <c r="J4" s="118"/>
      <c r="K4" s="3"/>
    </row>
    <row r="5" spans="1:255" x14ac:dyDescent="0.25">
      <c r="A5" s="3"/>
      <c r="B5" s="115"/>
      <c r="C5" s="111"/>
      <c r="D5" s="111"/>
      <c r="E5" s="111"/>
      <c r="F5" s="111"/>
      <c r="G5" s="111"/>
      <c r="H5" s="111"/>
      <c r="I5" s="111"/>
      <c r="J5" s="118"/>
      <c r="K5" s="3"/>
    </row>
    <row r="6" spans="1:255" ht="14.4" thickBot="1" x14ac:dyDescent="0.3">
      <c r="A6" s="3"/>
      <c r="B6" s="115"/>
      <c r="C6" s="121"/>
      <c r="D6" s="121"/>
      <c r="E6" s="121"/>
      <c r="F6" s="121"/>
      <c r="G6" s="121"/>
      <c r="H6" s="121"/>
      <c r="I6" s="121"/>
      <c r="J6" s="118"/>
      <c r="K6" s="3"/>
    </row>
    <row r="7" spans="1:255" x14ac:dyDescent="0.25">
      <c r="A7" s="3"/>
      <c r="B7" s="115"/>
      <c r="C7" s="121"/>
      <c r="D7" s="124" t="s">
        <v>26</v>
      </c>
      <c r="E7" s="125"/>
      <c r="F7" s="132"/>
      <c r="G7" s="132"/>
      <c r="H7" s="133"/>
      <c r="I7" s="145" t="str">
        <f>IF(ISBLANK(F7),"Þ","P")</f>
        <v>Þ</v>
      </c>
      <c r="J7" s="118"/>
      <c r="K7" s="3"/>
    </row>
    <row r="8" spans="1:255" ht="14.4" thickBot="1" x14ac:dyDescent="0.3">
      <c r="A8" s="3"/>
      <c r="B8" s="115"/>
      <c r="C8" s="121"/>
      <c r="D8" s="126"/>
      <c r="E8" s="127"/>
      <c r="F8" s="134"/>
      <c r="G8" s="134"/>
      <c r="H8" s="135"/>
      <c r="I8" s="145"/>
      <c r="J8" s="118"/>
      <c r="K8" s="3"/>
    </row>
    <row r="9" spans="1:255" x14ac:dyDescent="0.25">
      <c r="A9" s="3"/>
      <c r="B9" s="115"/>
      <c r="C9" s="121"/>
      <c r="D9" s="143"/>
      <c r="E9" s="143"/>
      <c r="F9" s="143"/>
      <c r="G9" s="143"/>
      <c r="H9" s="143"/>
      <c r="I9" s="75"/>
      <c r="J9" s="118"/>
      <c r="K9" s="3"/>
      <c r="N9" s="77"/>
    </row>
    <row r="10" spans="1:255" ht="14.4" thickBot="1" x14ac:dyDescent="0.3">
      <c r="A10" s="3"/>
      <c r="B10" s="115"/>
      <c r="C10" s="121"/>
      <c r="D10" s="143"/>
      <c r="E10" s="143"/>
      <c r="F10" s="143"/>
      <c r="G10" s="143"/>
      <c r="H10" s="143"/>
      <c r="I10" s="75"/>
      <c r="J10" s="118"/>
      <c r="K10" s="3"/>
    </row>
    <row r="11" spans="1:255" x14ac:dyDescent="0.25">
      <c r="A11" s="3"/>
      <c r="B11" s="115"/>
      <c r="C11" s="121"/>
      <c r="D11" s="124" t="s">
        <v>27</v>
      </c>
      <c r="E11" s="125"/>
      <c r="F11" s="136"/>
      <c r="G11" s="132"/>
      <c r="H11" s="133"/>
      <c r="I11" s="144" t="str">
        <f>IF(ISBLANK(F11),"Þ","P")</f>
        <v>Þ</v>
      </c>
      <c r="J11" s="118"/>
      <c r="K11" s="3"/>
    </row>
    <row r="12" spans="1:255" ht="14.4" thickBot="1" x14ac:dyDescent="0.3">
      <c r="A12" s="3"/>
      <c r="B12" s="115"/>
      <c r="C12" s="121"/>
      <c r="D12" s="126"/>
      <c r="E12" s="127"/>
      <c r="F12" s="137"/>
      <c r="G12" s="134"/>
      <c r="H12" s="135"/>
      <c r="I12" s="144"/>
      <c r="J12" s="118"/>
      <c r="K12" s="3"/>
    </row>
    <row r="13" spans="1:255" x14ac:dyDescent="0.25">
      <c r="A13" s="3"/>
      <c r="B13" s="115"/>
      <c r="C13" s="121"/>
      <c r="D13" s="123"/>
      <c r="E13" s="123"/>
      <c r="F13" s="123"/>
      <c r="G13" s="123"/>
      <c r="H13" s="123"/>
      <c r="I13" s="75"/>
      <c r="J13" s="118"/>
      <c r="K13" s="3"/>
    </row>
    <row r="14" spans="1:255" ht="14.4" thickBot="1" x14ac:dyDescent="0.3">
      <c r="A14" s="3"/>
      <c r="B14" s="115"/>
      <c r="C14" s="121"/>
      <c r="D14" s="123"/>
      <c r="E14" s="123"/>
      <c r="F14" s="123"/>
      <c r="G14" s="123"/>
      <c r="H14" s="123"/>
      <c r="I14" s="75"/>
      <c r="J14" s="118"/>
      <c r="K14" s="3"/>
    </row>
    <row r="15" spans="1:255" x14ac:dyDescent="0.25">
      <c r="A15" s="3"/>
      <c r="B15" s="115"/>
      <c r="C15" s="121"/>
      <c r="D15" s="128" t="s">
        <v>28</v>
      </c>
      <c r="E15" s="129"/>
      <c r="F15" s="138"/>
      <c r="G15" s="139"/>
      <c r="H15" s="140"/>
      <c r="I15" s="144" t="str">
        <f>IF(ISBLANK(F15),"Þ","P")</f>
        <v>Þ</v>
      </c>
      <c r="J15" s="118"/>
      <c r="K15" s="3"/>
    </row>
    <row r="16" spans="1:255" ht="14.4" thickBot="1" x14ac:dyDescent="0.3">
      <c r="A16" s="3"/>
      <c r="B16" s="115"/>
      <c r="C16" s="121"/>
      <c r="D16" s="130"/>
      <c r="E16" s="131"/>
      <c r="F16" s="141"/>
      <c r="G16" s="141"/>
      <c r="H16" s="142"/>
      <c r="I16" s="144"/>
      <c r="J16" s="118"/>
      <c r="K16" s="3"/>
    </row>
    <row r="17" spans="1:11" x14ac:dyDescent="0.25">
      <c r="A17" s="3"/>
      <c r="B17" s="115"/>
      <c r="C17" s="121"/>
      <c r="D17" s="122"/>
      <c r="E17" s="122"/>
      <c r="F17" s="122"/>
      <c r="G17" s="122"/>
      <c r="H17" s="122"/>
      <c r="I17" s="75"/>
      <c r="J17" s="118"/>
      <c r="K17" s="3"/>
    </row>
    <row r="18" spans="1:11" x14ac:dyDescent="0.25">
      <c r="A18" s="3"/>
      <c r="B18" s="115"/>
      <c r="C18" s="121"/>
      <c r="D18" s="121"/>
      <c r="E18" s="121"/>
      <c r="F18" s="121"/>
      <c r="G18" s="121"/>
      <c r="H18" s="121"/>
      <c r="I18" s="76"/>
      <c r="J18" s="118"/>
      <c r="K18" s="3"/>
    </row>
    <row r="19" spans="1:11" ht="16.8" x14ac:dyDescent="0.25">
      <c r="A19" s="3"/>
      <c r="B19" s="115"/>
      <c r="C19" s="121"/>
      <c r="D19" s="26"/>
      <c r="E19" s="26"/>
      <c r="F19" s="26"/>
      <c r="G19" s="8"/>
      <c r="J19" s="118"/>
      <c r="K19" s="3"/>
    </row>
    <row r="20" spans="1:11" ht="14.4" thickBot="1" x14ac:dyDescent="0.3">
      <c r="A20" s="3"/>
      <c r="B20" s="116"/>
      <c r="C20" s="120"/>
      <c r="D20" s="120"/>
      <c r="E20" s="120"/>
      <c r="F20" s="120"/>
      <c r="G20" s="120"/>
      <c r="H20" s="120"/>
      <c r="I20" s="120"/>
      <c r="J20" s="119"/>
      <c r="K20" s="3"/>
    </row>
    <row r="21" spans="1:1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</sheetData>
  <mergeCells count="20">
    <mergeCell ref="I11:I12"/>
    <mergeCell ref="I7:I8"/>
    <mergeCell ref="C3:I4"/>
    <mergeCell ref="D7:E8"/>
    <mergeCell ref="C2:I2"/>
    <mergeCell ref="IT1:IU1"/>
    <mergeCell ref="B2:B20"/>
    <mergeCell ref="J2:J20"/>
    <mergeCell ref="C20:I20"/>
    <mergeCell ref="C5:C19"/>
    <mergeCell ref="D5:I6"/>
    <mergeCell ref="D17:H18"/>
    <mergeCell ref="D13:H14"/>
    <mergeCell ref="D11:E12"/>
    <mergeCell ref="D15:E16"/>
    <mergeCell ref="F7:H8"/>
    <mergeCell ref="F11:H12"/>
    <mergeCell ref="F15:H16"/>
    <mergeCell ref="D9:H10"/>
    <mergeCell ref="I15:I16"/>
  </mergeCells>
  <conditionalFormatting sqref="I1:I18 I20:I1048576">
    <cfRule type="expression" dxfId="13" priority="2">
      <formula>$I1="P"</formula>
    </cfRule>
  </conditionalFormatting>
  <conditionalFormatting sqref="IT1:IU1">
    <cfRule type="expression" dxfId="12" priority="1">
      <formula>COUNTA(F7,F11,F15)=3</formula>
    </cfRule>
  </conditionalFormatting>
  <conditionalFormatting sqref="IU1">
    <cfRule type="expression" dxfId="11" priority="6">
      <formula>$IU1="P"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5E68-1A1E-4128-AD5D-3D2C9A95EFAA}">
  <sheetPr codeName="Sheet4">
    <tabColor theme="4" tint="-0.499984740745262"/>
  </sheetPr>
  <dimension ref="A1:K21"/>
  <sheetViews>
    <sheetView showGridLines="0" workbookViewId="0">
      <selection activeCell="L31" sqref="L31"/>
    </sheetView>
  </sheetViews>
  <sheetFormatPr defaultColWidth="9.109375" defaultRowHeight="13.8" x14ac:dyDescent="0.25"/>
  <cols>
    <col min="1" max="1" width="6.6640625" style="1" customWidth="1"/>
    <col min="2" max="2" width="5" style="1" customWidth="1"/>
    <col min="3" max="8" width="16.33203125" style="1" customWidth="1"/>
    <col min="9" max="9" width="14.33203125" style="1" customWidth="1"/>
    <col min="10" max="10" width="5" style="1" customWidth="1"/>
    <col min="11" max="16384" width="9.109375" style="1"/>
  </cols>
  <sheetData>
    <row r="1" spans="1:11" ht="14.4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4.4" thickBot="1" x14ac:dyDescent="0.3">
      <c r="A2" s="3"/>
      <c r="B2" s="114"/>
      <c r="C2" s="111"/>
      <c r="D2" s="111"/>
      <c r="E2" s="111"/>
      <c r="F2" s="111"/>
      <c r="G2" s="111"/>
      <c r="H2" s="111"/>
      <c r="I2" s="111"/>
      <c r="J2" s="117"/>
      <c r="K2" s="3"/>
    </row>
    <row r="3" spans="1:11" ht="15" customHeight="1" x14ac:dyDescent="0.25">
      <c r="A3" s="3"/>
      <c r="B3" s="115"/>
      <c r="C3" s="160" t="s">
        <v>26</v>
      </c>
      <c r="D3" s="155" t="s">
        <v>65</v>
      </c>
      <c r="E3" s="156"/>
      <c r="F3" s="156"/>
      <c r="G3" s="156"/>
      <c r="H3" s="156"/>
      <c r="I3" s="157"/>
      <c r="J3" s="118"/>
      <c r="K3" s="3"/>
    </row>
    <row r="4" spans="1:11" ht="15.75" customHeight="1" thickBot="1" x14ac:dyDescent="0.3">
      <c r="A4" s="3"/>
      <c r="B4" s="115"/>
      <c r="C4" s="161"/>
      <c r="D4" s="158"/>
      <c r="E4" s="158"/>
      <c r="F4" s="158"/>
      <c r="G4" s="158"/>
      <c r="H4" s="158"/>
      <c r="I4" s="159"/>
      <c r="J4" s="118"/>
      <c r="K4" s="3"/>
    </row>
    <row r="5" spans="1:11" ht="14.4" thickBot="1" x14ac:dyDescent="0.3">
      <c r="A5" s="3"/>
      <c r="B5" s="115"/>
      <c r="C5" s="4"/>
      <c r="D5" s="4"/>
      <c r="E5" s="4"/>
      <c r="F5" s="4"/>
      <c r="G5" s="4"/>
      <c r="H5" s="4"/>
      <c r="I5" s="4"/>
      <c r="J5" s="118"/>
      <c r="K5" s="3"/>
    </row>
    <row r="6" spans="1:11" ht="14.4" thickBot="1" x14ac:dyDescent="0.3">
      <c r="A6" s="3"/>
      <c r="B6" s="115"/>
      <c r="C6" s="5" t="s">
        <v>54</v>
      </c>
      <c r="D6" s="90">
        <f>IFERROR(VLOOKUP(D3,'DB-s'!$A:$B,2,0),"")</f>
        <v>150015002</v>
      </c>
      <c r="E6" s="6"/>
      <c r="F6" s="6"/>
      <c r="G6" s="6"/>
      <c r="H6" s="7" t="s">
        <v>28</v>
      </c>
      <c r="I6" s="91">
        <f>IFERROR(VLOOKUP(D3,'DB-s'!$A:$C,3,0),"")</f>
        <v>44785</v>
      </c>
      <c r="J6" s="118"/>
      <c r="K6" s="3"/>
    </row>
    <row r="7" spans="1:11" x14ac:dyDescent="0.25">
      <c r="A7" s="3"/>
      <c r="B7" s="115"/>
      <c r="C7" s="8"/>
      <c r="D7" s="6"/>
      <c r="E7" s="6"/>
      <c r="F7" s="6"/>
      <c r="G7" s="6"/>
      <c r="H7" s="6"/>
      <c r="I7" s="9"/>
      <c r="J7" s="118"/>
      <c r="K7" s="3"/>
    </row>
    <row r="8" spans="1:11" ht="15" customHeight="1" x14ac:dyDescent="0.25">
      <c r="A8" s="3"/>
      <c r="B8" s="115"/>
      <c r="C8" s="8"/>
      <c r="D8" s="10"/>
      <c r="E8" s="10" t="s">
        <v>53</v>
      </c>
      <c r="F8" s="10"/>
      <c r="G8" s="10"/>
      <c r="H8" s="11"/>
      <c r="I8" s="9"/>
      <c r="J8" s="118"/>
      <c r="K8" s="3"/>
    </row>
    <row r="9" spans="1:11" ht="15.75" customHeight="1" x14ac:dyDescent="0.25">
      <c r="A9" s="3"/>
      <c r="B9" s="115"/>
      <c r="C9" s="8"/>
      <c r="D9" s="10"/>
      <c r="E9" s="12"/>
      <c r="F9" s="12"/>
      <c r="G9" s="12"/>
      <c r="H9" s="11"/>
      <c r="I9" s="9"/>
      <c r="J9" s="118"/>
      <c r="K9" s="3"/>
    </row>
    <row r="10" spans="1:11" ht="15.75" customHeight="1" x14ac:dyDescent="0.25">
      <c r="A10" s="3"/>
      <c r="B10" s="115"/>
      <c r="C10" s="8"/>
      <c r="D10" s="12"/>
      <c r="E10" s="12"/>
      <c r="F10" s="12"/>
      <c r="G10" s="12"/>
      <c r="H10" s="12"/>
      <c r="I10" s="9"/>
      <c r="J10" s="118"/>
      <c r="K10" s="3"/>
    </row>
    <row r="11" spans="1:11" x14ac:dyDescent="0.25">
      <c r="A11" s="3"/>
      <c r="B11" s="115"/>
      <c r="C11" s="8"/>
      <c r="D11" s="12"/>
      <c r="E11" s="12"/>
      <c r="F11" s="12"/>
      <c r="G11" s="12"/>
      <c r="H11" s="12"/>
      <c r="I11" s="9"/>
      <c r="J11" s="118"/>
      <c r="K11" s="3"/>
    </row>
    <row r="12" spans="1:11" ht="15" customHeight="1" x14ac:dyDescent="0.25">
      <c r="A12" s="3"/>
      <c r="B12" s="115"/>
      <c r="C12" s="8"/>
      <c r="D12" s="12"/>
      <c r="E12" s="12" t="s">
        <v>56</v>
      </c>
      <c r="F12" s="12"/>
      <c r="G12" s="12"/>
      <c r="H12" s="12"/>
      <c r="I12" s="9"/>
      <c r="J12" s="118"/>
      <c r="K12" s="3"/>
    </row>
    <row r="13" spans="1:11" ht="15.75" customHeight="1" x14ac:dyDescent="0.25">
      <c r="A13" s="3"/>
      <c r="B13" s="115"/>
      <c r="C13" s="8"/>
      <c r="D13" s="12"/>
      <c r="E13" s="12"/>
      <c r="F13" s="12"/>
      <c r="G13" s="12"/>
      <c r="H13" s="12"/>
      <c r="I13" s="9"/>
      <c r="J13" s="118"/>
      <c r="K13" s="3"/>
    </row>
    <row r="14" spans="1:11" x14ac:dyDescent="0.25">
      <c r="A14" s="3"/>
      <c r="B14" s="115"/>
      <c r="C14" s="8"/>
      <c r="D14" s="12"/>
      <c r="E14" s="12"/>
      <c r="F14" s="12"/>
      <c r="G14" s="12"/>
      <c r="H14" s="12"/>
      <c r="I14" s="9"/>
      <c r="J14" s="118"/>
      <c r="K14" s="3"/>
    </row>
    <row r="15" spans="1:11" ht="15" customHeight="1" x14ac:dyDescent="0.25">
      <c r="A15" s="3"/>
      <c r="B15" s="115"/>
      <c r="C15" s="8"/>
      <c r="D15" s="13" t="s">
        <v>28</v>
      </c>
      <c r="E15" s="6" t="s">
        <v>57</v>
      </c>
      <c r="F15" s="6"/>
      <c r="G15" s="6"/>
      <c r="H15" s="6"/>
      <c r="I15" s="9"/>
      <c r="J15" s="118"/>
      <c r="K15" s="3"/>
    </row>
    <row r="16" spans="1:11" ht="15" customHeight="1" x14ac:dyDescent="0.25">
      <c r="A16" s="3"/>
      <c r="B16" s="115"/>
      <c r="C16" s="8"/>
      <c r="D16" s="13"/>
      <c r="E16" s="6"/>
      <c r="F16" s="6"/>
      <c r="G16" s="6"/>
      <c r="H16" s="6"/>
      <c r="I16" s="9"/>
      <c r="J16" s="118"/>
      <c r="K16" s="3"/>
    </row>
    <row r="17" spans="1:11" x14ac:dyDescent="0.25">
      <c r="A17" s="3"/>
      <c r="B17" s="115"/>
      <c r="C17" s="8"/>
      <c r="D17" s="14"/>
      <c r="E17" s="14"/>
      <c r="F17" s="14"/>
      <c r="G17" s="14"/>
      <c r="H17" s="14"/>
      <c r="I17" s="9"/>
      <c r="J17" s="118"/>
      <c r="K17" s="3"/>
    </row>
    <row r="18" spans="1:11" ht="14.4" thickBot="1" x14ac:dyDescent="0.3">
      <c r="A18" s="3"/>
      <c r="B18" s="115"/>
      <c r="C18" s="8"/>
      <c r="D18" s="8"/>
      <c r="E18" s="8"/>
      <c r="F18" s="8"/>
      <c r="G18" s="8"/>
      <c r="H18" s="8"/>
      <c r="I18" s="6"/>
      <c r="J18" s="118"/>
      <c r="K18" s="3"/>
    </row>
    <row r="19" spans="1:11" ht="14.4" thickBot="1" x14ac:dyDescent="0.3">
      <c r="A19" s="3"/>
      <c r="B19" s="115"/>
      <c r="C19" s="153" t="s">
        <v>55</v>
      </c>
      <c r="D19" s="154"/>
      <c r="E19" s="15"/>
      <c r="F19" s="152" t="s">
        <v>0</v>
      </c>
      <c r="G19" s="152"/>
      <c r="H19" s="152"/>
      <c r="I19" s="152"/>
      <c r="J19" s="118"/>
      <c r="K19" s="3"/>
    </row>
    <row r="20" spans="1:11" ht="14.4" thickBot="1" x14ac:dyDescent="0.3">
      <c r="A20" s="3"/>
      <c r="B20" s="116"/>
      <c r="C20" s="120"/>
      <c r="D20" s="120"/>
      <c r="E20" s="120"/>
      <c r="F20" s="120"/>
      <c r="G20" s="120"/>
      <c r="H20" s="120"/>
      <c r="I20" s="120"/>
      <c r="J20" s="119"/>
      <c r="K20" s="3"/>
    </row>
    <row r="21" spans="1:1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</sheetData>
  <mergeCells count="8">
    <mergeCell ref="B2:B20"/>
    <mergeCell ref="C2:I2"/>
    <mergeCell ref="J2:J20"/>
    <mergeCell ref="C20:I20"/>
    <mergeCell ref="F19:I19"/>
    <mergeCell ref="C19:D19"/>
    <mergeCell ref="D3:I4"/>
    <mergeCell ref="C3:C4"/>
  </mergeCells>
  <dataValidations count="3">
    <dataValidation type="list" allowBlank="1" showInputMessage="1" showErrorMessage="1" errorTitle="No Colleague!" error="There is no colleague with this name!" promptTitle="Info" prompt="You can select Colleagues name form drop down list!" sqref="D3" xr:uid="{99F74F96-0B07-48D1-8751-6A0678DD42C2}">
      <formula1>rngName</formula1>
    </dataValidation>
    <dataValidation allowBlank="1" showInputMessage="1" showErrorMessage="1" promptTitle="Info" prompt="Colleague EAN will be automatically shown when selected Colleague name." sqref="D6" xr:uid="{EC667E9F-25BD-43E1-B5CD-10EC34F591A0}"/>
    <dataValidation allowBlank="1" showInputMessage="1" showErrorMessage="1" promptTitle="Info" prompt="Colleague Start Date will be automatically shown when selected Colleague name." sqref="I6" xr:uid="{0B1AA97C-CFB5-46C0-96D2-5F62ABC38331}"/>
  </dataValidations>
  <pageMargins left="0.7" right="0.7" top="0.75" bottom="0.75" header="0.3" footer="0.3"/>
  <pageSetup paperSize="9" orientation="portrait" verticalDpi="36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0D976-1DF0-4B26-B8EB-BB015E7516F2}">
  <sheetPr codeName="Sheet5">
    <tabColor theme="4" tint="-0.499984740745262"/>
  </sheetPr>
  <dimension ref="A1:AC37"/>
  <sheetViews>
    <sheetView showGridLines="0" tabSelected="1" zoomScale="80" zoomScaleNormal="80" workbookViewId="0">
      <selection activeCell="F23" sqref="F23"/>
    </sheetView>
  </sheetViews>
  <sheetFormatPr defaultColWidth="9.109375" defaultRowHeight="13.8" x14ac:dyDescent="0.25"/>
  <cols>
    <col min="1" max="1" width="9.109375" style="1"/>
    <col min="2" max="2" width="5" style="1" customWidth="1"/>
    <col min="3" max="3" width="16.44140625" style="1" bestFit="1" customWidth="1"/>
    <col min="4" max="4" width="14.33203125" style="1" customWidth="1"/>
    <col min="5" max="5" width="33.109375" style="1" customWidth="1"/>
    <col min="6" max="6" width="17.109375" style="1" customWidth="1"/>
    <col min="7" max="7" width="14.33203125" style="1" customWidth="1"/>
    <col min="8" max="8" width="18.6640625" style="1" bestFit="1" customWidth="1"/>
    <col min="9" max="9" width="17.88671875" style="1" bestFit="1" customWidth="1"/>
    <col min="10" max="10" width="5" style="1" customWidth="1"/>
    <col min="11" max="11" width="5.6640625" style="1" customWidth="1"/>
    <col min="12" max="12" width="19.33203125" style="85" customWidth="1"/>
    <col min="13" max="13" width="1.88671875" style="85" customWidth="1"/>
    <col min="14" max="15" width="9.109375" style="1"/>
    <col min="16" max="16" width="6.33203125" style="1" customWidth="1"/>
    <col min="17" max="17" width="9.109375" style="1"/>
    <col min="18" max="18" width="2" style="82" customWidth="1"/>
    <col min="19" max="28" width="9.109375" style="1"/>
    <col min="29" max="29" width="12.44140625" style="1" bestFit="1" customWidth="1"/>
    <col min="30" max="16384" width="9.109375" style="1"/>
  </cols>
  <sheetData>
    <row r="1" spans="1:29" s="82" customForma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101"/>
      <c r="M1" s="101"/>
      <c r="N1" s="3"/>
      <c r="O1" s="3"/>
      <c r="P1" s="3"/>
      <c r="Q1" s="3"/>
      <c r="R1" s="3"/>
      <c r="S1" s="3"/>
      <c r="AC1" s="82">
        <f>N5</f>
        <v>150015002</v>
      </c>
    </row>
    <row r="2" spans="1:29" s="82" customForma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101"/>
      <c r="M2" s="101"/>
      <c r="N2" s="3"/>
      <c r="O2" s="3"/>
      <c r="P2" s="3"/>
      <c r="Q2" s="3"/>
      <c r="R2" s="3"/>
      <c r="S2" s="3"/>
      <c r="AC2" s="82" t="str">
        <f>N7</f>
        <v>Martin</v>
      </c>
    </row>
    <row r="3" spans="1:29" ht="14.4" thickBo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101"/>
      <c r="M3" s="101"/>
      <c r="N3" s="3"/>
      <c r="O3" s="3"/>
      <c r="P3" s="3"/>
      <c r="Q3" s="3"/>
      <c r="R3" s="3"/>
      <c r="S3" s="3"/>
      <c r="AC3" s="230">
        <f>N9</f>
        <v>0</v>
      </c>
    </row>
    <row r="4" spans="1:29" ht="14.4" thickBot="1" x14ac:dyDescent="0.3">
      <c r="A4" s="3"/>
      <c r="B4" s="114"/>
      <c r="C4" s="111"/>
      <c r="D4" s="111"/>
      <c r="E4" s="111"/>
      <c r="F4" s="111"/>
      <c r="G4" s="111"/>
      <c r="H4" s="111"/>
      <c r="I4" s="111"/>
      <c r="J4" s="117"/>
      <c r="K4" s="3"/>
      <c r="L4" s="101"/>
      <c r="M4" s="103"/>
      <c r="N4" s="78"/>
      <c r="O4" s="78"/>
      <c r="P4" s="78"/>
      <c r="Q4" s="78"/>
      <c r="R4" s="78"/>
      <c r="S4" s="3"/>
      <c r="AC4" s="104" t="str">
        <f>N11</f>
        <v/>
      </c>
    </row>
    <row r="5" spans="1:29" ht="15" customHeight="1" x14ac:dyDescent="0.25">
      <c r="A5" s="3"/>
      <c r="B5" s="115"/>
      <c r="C5" s="231" t="s">
        <v>12</v>
      </c>
      <c r="D5" s="232"/>
      <c r="E5" s="233"/>
      <c r="F5" s="166"/>
      <c r="G5" s="167"/>
      <c r="H5" s="167" t="s">
        <v>9</v>
      </c>
      <c r="I5" s="167"/>
      <c r="J5" s="118"/>
      <c r="K5" s="3"/>
      <c r="L5" s="101" t="s">
        <v>27</v>
      </c>
      <c r="M5" s="103"/>
      <c r="N5" s="229">
        <f>I8</f>
        <v>150015002</v>
      </c>
      <c r="O5" s="229"/>
      <c r="P5" s="229"/>
      <c r="Q5" s="229"/>
      <c r="R5" s="102"/>
      <c r="S5" s="3"/>
      <c r="AC5" s="104">
        <f>N13</f>
        <v>0</v>
      </c>
    </row>
    <row r="6" spans="1:29" ht="15.75" customHeight="1" thickBot="1" x14ac:dyDescent="0.3">
      <c r="A6" s="3"/>
      <c r="B6" s="115"/>
      <c r="C6" s="234"/>
      <c r="D6" s="235"/>
      <c r="E6" s="236"/>
      <c r="F6" s="166"/>
      <c r="G6" s="167"/>
      <c r="H6" s="167"/>
      <c r="I6" s="167"/>
      <c r="J6" s="118"/>
      <c r="K6" s="3"/>
      <c r="L6" s="101"/>
      <c r="M6" s="103"/>
      <c r="N6" s="78"/>
      <c r="O6" s="78"/>
      <c r="P6" s="78"/>
      <c r="Q6" s="78"/>
      <c r="R6" s="78"/>
      <c r="S6" s="3"/>
      <c r="AC6" s="230">
        <f>N15</f>
        <v>0</v>
      </c>
    </row>
    <row r="7" spans="1:29" ht="14.4" thickBot="1" x14ac:dyDescent="0.3">
      <c r="A7" s="3"/>
      <c r="B7" s="115"/>
      <c r="C7" s="121"/>
      <c r="D7" s="121"/>
      <c r="E7" s="121"/>
      <c r="F7" s="121"/>
      <c r="G7" s="121"/>
      <c r="H7" s="121"/>
      <c r="I7" s="121"/>
      <c r="J7" s="118"/>
      <c r="K7" s="3"/>
      <c r="L7" s="101" t="s">
        <v>59</v>
      </c>
      <c r="M7" s="103"/>
      <c r="N7" s="229" t="str">
        <f>TRIM(_xlfn.CONCAT('Colleague Profile'!D3:I4))</f>
        <v>Martin</v>
      </c>
      <c r="O7" s="229"/>
      <c r="P7" s="229"/>
      <c r="Q7" s="229"/>
      <c r="R7" s="102"/>
      <c r="S7" s="3"/>
      <c r="AC7" s="104">
        <f>N17</f>
        <v>0</v>
      </c>
    </row>
    <row r="8" spans="1:29" ht="14.4" thickBot="1" x14ac:dyDescent="0.3">
      <c r="A8" s="3"/>
      <c r="B8" s="115"/>
      <c r="C8" s="189"/>
      <c r="D8" s="189"/>
      <c r="E8" s="189"/>
      <c r="F8" s="163"/>
      <c r="G8" s="164"/>
      <c r="H8" s="165"/>
      <c r="I8" s="27">
        <f>'Colleague Profile'!D6</f>
        <v>150015002</v>
      </c>
      <c r="J8" s="118"/>
      <c r="K8" s="3"/>
      <c r="L8" s="101"/>
      <c r="M8" s="103"/>
      <c r="N8" s="78"/>
      <c r="O8" s="78"/>
      <c r="P8" s="78"/>
      <c r="Q8" s="78"/>
      <c r="R8" s="78"/>
      <c r="S8" s="3"/>
      <c r="AC8" s="104">
        <f>N19</f>
        <v>0</v>
      </c>
    </row>
    <row r="9" spans="1:29" ht="14.4" thickBot="1" x14ac:dyDescent="0.3">
      <c r="A9" s="3"/>
      <c r="B9" s="115"/>
      <c r="C9" s="120"/>
      <c r="D9" s="120"/>
      <c r="E9" s="120"/>
      <c r="F9" s="120"/>
      <c r="G9" s="120"/>
      <c r="H9" s="120"/>
      <c r="I9" s="120"/>
      <c r="J9" s="118"/>
      <c r="K9" s="3"/>
      <c r="L9" s="101" t="s">
        <v>6</v>
      </c>
      <c r="M9" s="103"/>
      <c r="N9" s="228"/>
      <c r="O9" s="228"/>
      <c r="P9" s="228"/>
      <c r="Q9" s="228"/>
      <c r="R9" s="102"/>
      <c r="S9" s="3"/>
      <c r="AC9" s="104"/>
    </row>
    <row r="10" spans="1:29" x14ac:dyDescent="0.25">
      <c r="A10" s="3"/>
      <c r="B10" s="115"/>
      <c r="C10" s="28" t="s">
        <v>6</v>
      </c>
      <c r="D10" s="28" t="s">
        <v>4</v>
      </c>
      <c r="E10" s="179" t="s">
        <v>5</v>
      </c>
      <c r="F10" s="180"/>
      <c r="G10" s="28" t="s">
        <v>10</v>
      </c>
      <c r="H10" s="28" t="s">
        <v>7</v>
      </c>
      <c r="I10" s="29" t="s">
        <v>8</v>
      </c>
      <c r="J10" s="118"/>
      <c r="K10" s="3"/>
      <c r="L10" s="101"/>
      <c r="M10" s="103"/>
      <c r="N10" s="78"/>
      <c r="O10" s="78"/>
      <c r="P10" s="78"/>
      <c r="Q10" s="78"/>
      <c r="R10" s="78"/>
      <c r="S10" s="3"/>
    </row>
    <row r="11" spans="1:29" x14ac:dyDescent="0.25">
      <c r="A11" s="3"/>
      <c r="B11" s="115"/>
      <c r="C11" s="30">
        <v>44562</v>
      </c>
      <c r="D11" s="79">
        <v>1</v>
      </c>
      <c r="E11" s="187" t="s">
        <v>13</v>
      </c>
      <c r="F11" s="187"/>
      <c r="G11" s="31">
        <v>44563</v>
      </c>
      <c r="H11" s="79" t="s">
        <v>14</v>
      </c>
      <c r="I11" s="32" t="s">
        <v>15</v>
      </c>
      <c r="J11" s="118"/>
      <c r="K11" s="3"/>
      <c r="L11" s="101" t="s">
        <v>4</v>
      </c>
      <c r="M11" s="103"/>
      <c r="N11" s="229" t="str">
        <f>IFERROR(IF(N15-N9=0,"",N15-N9),"")</f>
        <v/>
      </c>
      <c r="O11" s="229"/>
      <c r="P11" s="229"/>
      <c r="Q11" s="229"/>
      <c r="R11" s="102"/>
      <c r="S11" s="3"/>
    </row>
    <row r="12" spans="1:29" x14ac:dyDescent="0.25">
      <c r="A12" s="3"/>
      <c r="B12" s="115"/>
      <c r="C12" s="33">
        <v>44682</v>
      </c>
      <c r="D12" s="95">
        <v>3</v>
      </c>
      <c r="E12" s="188" t="s">
        <v>16</v>
      </c>
      <c r="F12" s="188"/>
      <c r="G12" s="94">
        <v>44685</v>
      </c>
      <c r="H12" s="95" t="s">
        <v>14</v>
      </c>
      <c r="I12" s="34" t="s">
        <v>15</v>
      </c>
      <c r="J12" s="118"/>
      <c r="K12" s="3"/>
      <c r="L12" s="101"/>
      <c r="M12" s="103"/>
      <c r="N12" s="78"/>
      <c r="O12" s="78"/>
      <c r="P12" s="78"/>
      <c r="Q12" s="78"/>
      <c r="R12" s="78"/>
      <c r="S12" s="3"/>
    </row>
    <row r="13" spans="1:29" x14ac:dyDescent="0.25">
      <c r="A13" s="3"/>
      <c r="B13" s="115"/>
      <c r="C13" s="33">
        <v>44781</v>
      </c>
      <c r="D13" s="95">
        <v>1</v>
      </c>
      <c r="E13" s="188" t="s">
        <v>17</v>
      </c>
      <c r="F13" s="188"/>
      <c r="G13" s="94">
        <v>44782</v>
      </c>
      <c r="H13" s="96" t="s">
        <v>18</v>
      </c>
      <c r="I13" s="35" t="s">
        <v>19</v>
      </c>
      <c r="J13" s="118"/>
      <c r="K13" s="3"/>
      <c r="L13" s="101" t="s">
        <v>5</v>
      </c>
      <c r="M13" s="103"/>
      <c r="N13" s="227"/>
      <c r="O13" s="227"/>
      <c r="P13" s="227"/>
      <c r="Q13" s="227"/>
      <c r="R13" s="78"/>
      <c r="S13" s="3"/>
    </row>
    <row r="14" spans="1:29" x14ac:dyDescent="0.25">
      <c r="A14" s="3"/>
      <c r="B14" s="115"/>
      <c r="C14" s="33">
        <v>44794</v>
      </c>
      <c r="D14" s="95">
        <v>1</v>
      </c>
      <c r="E14" s="188" t="s">
        <v>17</v>
      </c>
      <c r="F14" s="188"/>
      <c r="G14" s="94">
        <v>44795</v>
      </c>
      <c r="H14" s="97" t="s">
        <v>18</v>
      </c>
      <c r="I14" s="36" t="s">
        <v>25</v>
      </c>
      <c r="J14" s="118"/>
      <c r="K14" s="3"/>
      <c r="L14" s="101"/>
      <c r="M14" s="103"/>
      <c r="N14" s="78"/>
      <c r="O14" s="78"/>
      <c r="P14" s="78"/>
      <c r="Q14" s="78"/>
      <c r="R14" s="78"/>
      <c r="S14" s="3"/>
    </row>
    <row r="15" spans="1:29" x14ac:dyDescent="0.25">
      <c r="A15" s="3"/>
      <c r="B15" s="115"/>
      <c r="C15" s="37"/>
      <c r="D15" s="98"/>
      <c r="E15" s="171"/>
      <c r="F15" s="171"/>
      <c r="G15" s="98"/>
      <c r="H15" s="98"/>
      <c r="I15" s="81"/>
      <c r="J15" s="118"/>
      <c r="K15" s="3"/>
      <c r="L15" s="101" t="s">
        <v>10</v>
      </c>
      <c r="M15" s="103"/>
      <c r="N15" s="228"/>
      <c r="O15" s="228"/>
      <c r="P15" s="228"/>
      <c r="Q15" s="228"/>
      <c r="R15" s="78"/>
      <c r="S15" s="3"/>
    </row>
    <row r="16" spans="1:29" x14ac:dyDescent="0.25">
      <c r="A16" s="3"/>
      <c r="B16" s="115"/>
      <c r="C16" s="37"/>
      <c r="D16" s="98"/>
      <c r="E16" s="171"/>
      <c r="F16" s="171"/>
      <c r="G16" s="98"/>
      <c r="H16" s="98"/>
      <c r="I16" s="81"/>
      <c r="J16" s="118"/>
      <c r="K16" s="3"/>
      <c r="L16" s="101"/>
      <c r="M16" s="103"/>
      <c r="N16" s="78"/>
      <c r="O16" s="78"/>
      <c r="P16" s="78"/>
      <c r="Q16" s="78"/>
      <c r="R16" s="78"/>
      <c r="S16" s="3"/>
    </row>
    <row r="17" spans="1:19" x14ac:dyDescent="0.25">
      <c r="A17" s="3"/>
      <c r="B17" s="115"/>
      <c r="C17" s="37"/>
      <c r="D17" s="98"/>
      <c r="E17" s="171"/>
      <c r="F17" s="171"/>
      <c r="G17" s="98"/>
      <c r="H17" s="98"/>
      <c r="I17" s="81"/>
      <c r="J17" s="118"/>
      <c r="K17" s="3"/>
      <c r="L17" s="101" t="s">
        <v>7</v>
      </c>
      <c r="M17" s="103"/>
      <c r="N17" s="227"/>
      <c r="O17" s="227"/>
      <c r="P17" s="227"/>
      <c r="Q17" s="227"/>
      <c r="R17" s="78"/>
      <c r="S17" s="3"/>
    </row>
    <row r="18" spans="1:19" x14ac:dyDescent="0.25">
      <c r="A18" s="3"/>
      <c r="B18" s="115"/>
      <c r="C18" s="37"/>
      <c r="D18" s="98"/>
      <c r="E18" s="171"/>
      <c r="F18" s="171"/>
      <c r="G18" s="98"/>
      <c r="H18" s="98"/>
      <c r="I18" s="81"/>
      <c r="J18" s="118"/>
      <c r="K18" s="3"/>
      <c r="L18" s="101"/>
      <c r="M18" s="103"/>
      <c r="N18" s="78"/>
      <c r="O18" s="78"/>
      <c r="P18" s="78"/>
      <c r="Q18" s="78"/>
      <c r="R18" s="78"/>
      <c r="S18" s="3"/>
    </row>
    <row r="19" spans="1:19" x14ac:dyDescent="0.25">
      <c r="A19" s="3"/>
      <c r="B19" s="115"/>
      <c r="C19" s="37"/>
      <c r="D19" s="98"/>
      <c r="E19" s="171"/>
      <c r="F19" s="171"/>
      <c r="G19" s="98"/>
      <c r="H19" s="98"/>
      <c r="I19" s="81"/>
      <c r="J19" s="118"/>
      <c r="K19" s="3"/>
      <c r="L19" s="101" t="s">
        <v>8</v>
      </c>
      <c r="M19" s="103"/>
      <c r="N19" s="227"/>
      <c r="O19" s="227"/>
      <c r="P19" s="227"/>
      <c r="Q19" s="227"/>
      <c r="R19" s="78"/>
      <c r="S19" s="3"/>
    </row>
    <row r="20" spans="1:19" x14ac:dyDescent="0.25">
      <c r="A20" s="3"/>
      <c r="B20" s="115"/>
      <c r="C20" s="37"/>
      <c r="D20" s="98"/>
      <c r="E20" s="171"/>
      <c r="F20" s="171"/>
      <c r="G20" s="98"/>
      <c r="H20" s="98"/>
      <c r="I20" s="81"/>
      <c r="J20" s="118"/>
      <c r="K20" s="3"/>
      <c r="L20" s="101"/>
      <c r="M20" s="103"/>
      <c r="N20" s="78"/>
      <c r="O20" s="78"/>
      <c r="P20" s="78"/>
      <c r="Q20" s="78"/>
      <c r="R20" s="78"/>
      <c r="S20" s="3"/>
    </row>
    <row r="21" spans="1:19" x14ac:dyDescent="0.25">
      <c r="A21" s="3"/>
      <c r="B21" s="115"/>
      <c r="C21" s="37"/>
      <c r="D21" s="98"/>
      <c r="E21" s="171"/>
      <c r="F21" s="171"/>
      <c r="G21" s="98"/>
      <c r="H21" s="98"/>
      <c r="I21" s="81"/>
      <c r="J21" s="118"/>
      <c r="K21" s="3"/>
      <c r="L21" s="101"/>
      <c r="M21" s="103"/>
      <c r="N21" s="78"/>
      <c r="O21" s="78"/>
      <c r="P21" s="78"/>
      <c r="Q21" s="78"/>
      <c r="R21" s="78"/>
      <c r="S21" s="3"/>
    </row>
    <row r="22" spans="1:19" x14ac:dyDescent="0.25">
      <c r="A22" s="3"/>
      <c r="B22" s="115"/>
      <c r="C22" s="99"/>
      <c r="D22" s="92"/>
      <c r="E22" s="172"/>
      <c r="F22" s="172"/>
      <c r="G22" s="92"/>
      <c r="H22" s="92"/>
      <c r="I22" s="100"/>
      <c r="J22" s="118"/>
      <c r="K22" s="3"/>
      <c r="L22" s="101"/>
      <c r="M22" s="101"/>
      <c r="N22" s="3"/>
      <c r="O22" s="3"/>
      <c r="P22" s="3"/>
      <c r="Q22" s="3"/>
      <c r="R22" s="3"/>
      <c r="S22" s="3"/>
    </row>
    <row r="23" spans="1:19" s="82" customFormat="1" x14ac:dyDescent="0.25">
      <c r="A23" s="3"/>
      <c r="B23" s="115"/>
      <c r="C23" s="99"/>
      <c r="D23" s="92"/>
      <c r="E23" s="93"/>
      <c r="F23" s="93"/>
      <c r="G23" s="92"/>
      <c r="H23" s="92"/>
      <c r="I23" s="100"/>
      <c r="J23" s="118"/>
      <c r="K23" s="3"/>
      <c r="L23" s="101"/>
      <c r="M23" s="101"/>
      <c r="N23" s="3"/>
      <c r="O23" s="3"/>
      <c r="P23" s="3"/>
      <c r="Q23" s="3"/>
      <c r="R23" s="3"/>
      <c r="S23" s="3"/>
    </row>
    <row r="24" spans="1:19" s="82" customFormat="1" x14ac:dyDescent="0.25">
      <c r="A24" s="3"/>
      <c r="B24" s="115"/>
      <c r="C24" s="99"/>
      <c r="D24" s="92"/>
      <c r="E24" s="93"/>
      <c r="F24" s="93"/>
      <c r="G24" s="92"/>
      <c r="H24" s="92"/>
      <c r="I24" s="100"/>
      <c r="J24" s="118"/>
      <c r="K24" s="3"/>
      <c r="L24" s="101"/>
      <c r="M24" s="101"/>
      <c r="N24" s="3"/>
      <c r="O24" s="3"/>
      <c r="P24" s="3"/>
      <c r="Q24" s="3"/>
      <c r="R24" s="3"/>
      <c r="S24" s="3"/>
    </row>
    <row r="25" spans="1:19" s="82" customFormat="1" x14ac:dyDescent="0.25">
      <c r="A25" s="3"/>
      <c r="B25" s="115"/>
      <c r="C25" s="99"/>
      <c r="D25" s="92"/>
      <c r="E25" s="93"/>
      <c r="F25" s="93"/>
      <c r="G25" s="92"/>
      <c r="H25" s="92"/>
      <c r="I25" s="100"/>
      <c r="J25" s="118"/>
      <c r="K25" s="3"/>
      <c r="L25" s="101"/>
      <c r="M25" s="101"/>
      <c r="N25" s="3"/>
      <c r="O25" s="3"/>
      <c r="P25" s="3"/>
      <c r="Q25" s="3"/>
      <c r="R25" s="3"/>
      <c r="S25" s="3"/>
    </row>
    <row r="26" spans="1:19" s="82" customFormat="1" x14ac:dyDescent="0.25">
      <c r="A26" s="3"/>
      <c r="B26" s="115"/>
      <c r="C26" s="99"/>
      <c r="D26" s="92"/>
      <c r="E26" s="93"/>
      <c r="F26" s="93"/>
      <c r="G26" s="92"/>
      <c r="H26" s="92"/>
      <c r="I26" s="100"/>
      <c r="J26" s="118"/>
      <c r="K26" s="3"/>
      <c r="L26" s="101"/>
      <c r="M26" s="101"/>
      <c r="N26" s="3"/>
      <c r="O26" s="3"/>
      <c r="P26" s="3"/>
      <c r="Q26" s="3"/>
      <c r="R26" s="3"/>
      <c r="S26" s="3"/>
    </row>
    <row r="27" spans="1:19" s="82" customFormat="1" x14ac:dyDescent="0.25">
      <c r="A27" s="3"/>
      <c r="B27" s="115"/>
      <c r="C27" s="99"/>
      <c r="D27" s="92"/>
      <c r="E27" s="93"/>
      <c r="F27" s="93"/>
      <c r="G27" s="92"/>
      <c r="H27" s="92"/>
      <c r="I27" s="100"/>
      <c r="J27" s="118"/>
      <c r="K27" s="3"/>
      <c r="L27" s="101"/>
      <c r="M27" s="101"/>
      <c r="N27" s="3"/>
      <c r="O27" s="3"/>
      <c r="P27" s="3"/>
      <c r="Q27" s="3"/>
      <c r="R27" s="3"/>
      <c r="S27" s="3"/>
    </row>
    <row r="28" spans="1:19" s="82" customFormat="1" x14ac:dyDescent="0.25">
      <c r="A28" s="3"/>
      <c r="B28" s="115"/>
      <c r="C28" s="99"/>
      <c r="D28" s="92"/>
      <c r="E28" s="93"/>
      <c r="F28" s="93"/>
      <c r="G28" s="92"/>
      <c r="H28" s="92"/>
      <c r="I28" s="100"/>
      <c r="J28" s="118"/>
      <c r="K28" s="3"/>
      <c r="L28" s="101"/>
      <c r="M28" s="101"/>
      <c r="N28" s="3"/>
      <c r="O28" s="3"/>
      <c r="P28" s="3"/>
      <c r="Q28" s="3"/>
      <c r="R28" s="3"/>
      <c r="S28" s="3"/>
    </row>
    <row r="29" spans="1:19" s="82" customFormat="1" x14ac:dyDescent="0.25">
      <c r="A29" s="3"/>
      <c r="B29" s="115"/>
      <c r="C29" s="99"/>
      <c r="D29" s="92"/>
      <c r="E29" s="93"/>
      <c r="F29" s="93"/>
      <c r="G29" s="92"/>
      <c r="H29" s="92"/>
      <c r="I29" s="100"/>
      <c r="J29" s="118"/>
      <c r="K29" s="3"/>
      <c r="L29" s="101"/>
      <c r="M29" s="101"/>
      <c r="N29" s="3"/>
      <c r="O29" s="3"/>
      <c r="P29" s="3"/>
      <c r="Q29" s="3"/>
      <c r="R29" s="3"/>
      <c r="S29" s="3"/>
    </row>
    <row r="30" spans="1:19" s="82" customFormat="1" x14ac:dyDescent="0.25">
      <c r="A30" s="3"/>
      <c r="B30" s="115"/>
      <c r="C30" s="38"/>
      <c r="D30" s="83"/>
      <c r="E30" s="80"/>
      <c r="F30" s="80"/>
      <c r="G30" s="83"/>
      <c r="H30" s="83"/>
      <c r="I30" s="84"/>
      <c r="J30" s="118"/>
      <c r="K30" s="3"/>
      <c r="L30" s="101"/>
      <c r="M30" s="101"/>
      <c r="N30" s="3"/>
      <c r="O30" s="3"/>
      <c r="P30" s="3"/>
      <c r="Q30" s="3"/>
      <c r="R30" s="3"/>
      <c r="S30" s="3"/>
    </row>
    <row r="31" spans="1:19" ht="14.4" thickBot="1" x14ac:dyDescent="0.3">
      <c r="A31" s="3"/>
      <c r="B31" s="115"/>
      <c r="C31" s="162"/>
      <c r="D31" s="162"/>
      <c r="E31" s="162"/>
      <c r="F31" s="162"/>
      <c r="G31" s="162"/>
      <c r="H31" s="162"/>
      <c r="I31" s="162"/>
      <c r="J31" s="118"/>
      <c r="K31" s="3"/>
      <c r="L31" s="101"/>
      <c r="M31" s="101"/>
      <c r="N31" s="3"/>
      <c r="O31" s="3"/>
      <c r="P31" s="3"/>
      <c r="Q31" s="3"/>
      <c r="R31" s="3"/>
      <c r="S31" s="3"/>
    </row>
    <row r="32" spans="1:19" ht="15.6" x14ac:dyDescent="0.25">
      <c r="A32" s="3"/>
      <c r="B32" s="115"/>
      <c r="C32" s="168" t="s">
        <v>3</v>
      </c>
      <c r="D32" s="169"/>
      <c r="E32" s="169"/>
      <c r="F32" s="169"/>
      <c r="G32" s="169"/>
      <c r="H32" s="169"/>
      <c r="I32" s="170"/>
      <c r="J32" s="118"/>
      <c r="K32" s="3"/>
      <c r="L32" s="101"/>
      <c r="M32" s="101"/>
      <c r="N32" s="3"/>
      <c r="O32" s="3"/>
      <c r="P32" s="3"/>
      <c r="Q32" s="3"/>
      <c r="R32" s="3"/>
      <c r="S32" s="3"/>
    </row>
    <row r="33" spans="1:19" x14ac:dyDescent="0.25">
      <c r="A33" s="3"/>
      <c r="B33" s="115"/>
      <c r="C33" s="173"/>
      <c r="D33" s="174"/>
      <c r="E33" s="174"/>
      <c r="F33" s="174"/>
      <c r="G33" s="174"/>
      <c r="H33" s="174"/>
      <c r="I33" s="175"/>
      <c r="J33" s="118"/>
      <c r="K33" s="3"/>
      <c r="L33" s="101"/>
      <c r="M33" s="101"/>
      <c r="N33" s="3"/>
      <c r="O33" s="3"/>
      <c r="P33" s="3"/>
      <c r="Q33" s="3"/>
      <c r="R33" s="3"/>
      <c r="S33" s="3"/>
    </row>
    <row r="34" spans="1:19" x14ac:dyDescent="0.25">
      <c r="A34" s="3"/>
      <c r="B34" s="115"/>
      <c r="C34" s="173"/>
      <c r="D34" s="174"/>
      <c r="E34" s="174"/>
      <c r="F34" s="174"/>
      <c r="G34" s="174"/>
      <c r="H34" s="174"/>
      <c r="I34" s="175"/>
      <c r="J34" s="118"/>
      <c r="K34" s="3"/>
      <c r="L34" s="101"/>
      <c r="M34" s="101"/>
      <c r="N34" s="3"/>
      <c r="O34" s="3"/>
      <c r="P34" s="3"/>
      <c r="Q34" s="3"/>
      <c r="R34" s="3"/>
      <c r="S34" s="3"/>
    </row>
    <row r="35" spans="1:19" ht="14.4" thickBot="1" x14ac:dyDescent="0.3">
      <c r="A35" s="3"/>
      <c r="B35" s="115"/>
      <c r="C35" s="176"/>
      <c r="D35" s="177"/>
      <c r="E35" s="177"/>
      <c r="F35" s="177"/>
      <c r="G35" s="177"/>
      <c r="H35" s="177"/>
      <c r="I35" s="178"/>
      <c r="J35" s="118"/>
      <c r="K35" s="3"/>
      <c r="L35" s="101"/>
      <c r="M35" s="101"/>
      <c r="N35" s="3"/>
      <c r="O35" s="3"/>
      <c r="P35" s="3"/>
      <c r="Q35" s="3"/>
      <c r="R35" s="3"/>
      <c r="S35" s="3"/>
    </row>
    <row r="36" spans="1:19" ht="14.4" thickBot="1" x14ac:dyDescent="0.3">
      <c r="A36" s="3"/>
      <c r="B36" s="116"/>
      <c r="C36" s="120"/>
      <c r="D36" s="120"/>
      <c r="E36" s="120"/>
      <c r="F36" s="120"/>
      <c r="G36" s="120"/>
      <c r="H36" s="120"/>
      <c r="I36" s="120"/>
      <c r="J36" s="119"/>
      <c r="K36" s="3"/>
      <c r="L36" s="101"/>
      <c r="M36" s="101"/>
      <c r="N36" s="3"/>
      <c r="O36" s="3"/>
      <c r="P36" s="3"/>
      <c r="Q36" s="3"/>
      <c r="R36" s="3"/>
      <c r="S36" s="3"/>
    </row>
    <row r="37" spans="1:1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101"/>
      <c r="M37" s="101"/>
      <c r="N37" s="3"/>
      <c r="O37" s="3"/>
      <c r="P37" s="3"/>
      <c r="Q37" s="3"/>
      <c r="R37" s="3"/>
      <c r="S37" s="3"/>
    </row>
  </sheetData>
  <mergeCells count="35">
    <mergeCell ref="N15:Q15"/>
    <mergeCell ref="N17:Q17"/>
    <mergeCell ref="N19:Q19"/>
    <mergeCell ref="N5:Q5"/>
    <mergeCell ref="N7:Q7"/>
    <mergeCell ref="N9:Q9"/>
    <mergeCell ref="N11:Q11"/>
    <mergeCell ref="N13:Q13"/>
    <mergeCell ref="E18:F18"/>
    <mergeCell ref="E10:F10"/>
    <mergeCell ref="C5:E6"/>
    <mergeCell ref="E11:F11"/>
    <mergeCell ref="E12:F12"/>
    <mergeCell ref="C8:E8"/>
    <mergeCell ref="E13:F13"/>
    <mergeCell ref="E14:F14"/>
    <mergeCell ref="E15:F15"/>
    <mergeCell ref="E16:F16"/>
    <mergeCell ref="E17:F17"/>
    <mergeCell ref="B36:J36"/>
    <mergeCell ref="J4:J35"/>
    <mergeCell ref="B4:B35"/>
    <mergeCell ref="C31:I31"/>
    <mergeCell ref="C9:I9"/>
    <mergeCell ref="C7:I7"/>
    <mergeCell ref="F8:H8"/>
    <mergeCell ref="C4:I4"/>
    <mergeCell ref="F5:G6"/>
    <mergeCell ref="C32:I32"/>
    <mergeCell ref="E19:F19"/>
    <mergeCell ref="E20:F20"/>
    <mergeCell ref="E21:F21"/>
    <mergeCell ref="E22:F22"/>
    <mergeCell ref="H5:I6"/>
    <mergeCell ref="C33:I35"/>
  </mergeCells>
  <conditionalFormatting sqref="N9:Q9 N13:Q13 N15:Q15 N17:Q17 N19:Q19">
    <cfRule type="notContainsBlanks" dxfId="10" priority="1">
      <formula>LEN(TRIM(N9))&gt;0</formula>
    </cfRule>
  </conditionalFormatting>
  <dataValidations count="3">
    <dataValidation errorStyle="warning" allowBlank="1" showInputMessage="1" showErrorMessage="1" promptTitle="Alert!" prompt="Don't add formula is work!" sqref="N7:Q7" xr:uid="{E6B018AE-A9D2-45DC-801C-FC3AEAB6E547}"/>
    <dataValidation errorStyle="warning" allowBlank="1" showInputMessage="1" showErrorMessage="1" promptTitle="Alert!" prompt="Don't add formula is work!" sqref="N5:Q5" xr:uid="{8093FC8E-BEEC-46D5-900E-D3D46BF88F3D}"/>
    <dataValidation allowBlank="1" showInputMessage="1" showErrorMessage="1" promptTitle="Alert!" prompt="Don't add info formula is work!" sqref="N11:Q11" xr:uid="{24A17FF5-1C81-4565-A572-67D1CCCC808E}"/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AC2E-D687-4DD2-953C-59E7FF9EBB12}">
  <sheetPr codeName="Sheet6">
    <tabColor theme="4" tint="-0.499984740745262"/>
  </sheetPr>
  <dimension ref="A1:K26"/>
  <sheetViews>
    <sheetView showGridLines="0" zoomScale="80" zoomScaleNormal="80" workbookViewId="0">
      <selection activeCell="L31" sqref="L31"/>
    </sheetView>
  </sheetViews>
  <sheetFormatPr defaultColWidth="9.109375" defaultRowHeight="13.8" x14ac:dyDescent="0.25"/>
  <cols>
    <col min="1" max="1" width="9.109375" style="1"/>
    <col min="2" max="2" width="5" style="1" customWidth="1"/>
    <col min="3" max="3" width="9.88671875" style="1" customWidth="1"/>
    <col min="4" max="4" width="14.33203125" style="1" customWidth="1"/>
    <col min="5" max="5" width="33.109375" style="1" customWidth="1"/>
    <col min="6" max="6" width="17.109375" style="1" customWidth="1"/>
    <col min="7" max="7" width="14.33203125" style="1" customWidth="1"/>
    <col min="8" max="8" width="16.109375" style="1" customWidth="1"/>
    <col min="9" max="9" width="15.5546875" style="1" bestFit="1" customWidth="1"/>
    <col min="10" max="10" width="5" style="1" customWidth="1"/>
    <col min="11" max="16384" width="9.109375" style="1"/>
  </cols>
  <sheetData>
    <row r="1" spans="1:11" ht="14.4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4.4" thickBot="1" x14ac:dyDescent="0.3">
      <c r="A2" s="3"/>
      <c r="B2" s="190"/>
      <c r="C2" s="191"/>
      <c r="D2" s="191"/>
      <c r="E2" s="191"/>
      <c r="F2" s="191"/>
      <c r="G2" s="191"/>
      <c r="H2" s="191"/>
      <c r="I2" s="191"/>
      <c r="J2" s="192"/>
      <c r="K2" s="3"/>
    </row>
    <row r="3" spans="1:11" ht="15" customHeight="1" x14ac:dyDescent="0.25">
      <c r="A3" s="3"/>
      <c r="B3" s="115"/>
      <c r="C3" s="181" t="s">
        <v>20</v>
      </c>
      <c r="D3" s="182"/>
      <c r="E3" s="183"/>
      <c r="F3" s="166"/>
      <c r="G3" s="167"/>
      <c r="H3" s="163"/>
      <c r="I3" s="163"/>
      <c r="J3" s="118"/>
      <c r="K3" s="3"/>
    </row>
    <row r="4" spans="1:11" ht="15.75" customHeight="1" thickBot="1" x14ac:dyDescent="0.3">
      <c r="A4" s="3"/>
      <c r="B4" s="115"/>
      <c r="C4" s="184"/>
      <c r="D4" s="185"/>
      <c r="E4" s="186"/>
      <c r="F4" s="166"/>
      <c r="G4" s="167"/>
      <c r="H4" s="163"/>
      <c r="I4" s="163"/>
      <c r="J4" s="118"/>
      <c r="K4" s="3"/>
    </row>
    <row r="5" spans="1:11" ht="14.4" thickBot="1" x14ac:dyDescent="0.3">
      <c r="A5" s="3"/>
      <c r="B5" s="115"/>
      <c r="C5" s="121"/>
      <c r="D5" s="121"/>
      <c r="E5" s="121"/>
      <c r="F5" s="121"/>
      <c r="G5" s="121"/>
      <c r="H5" s="121"/>
      <c r="I5" s="121"/>
      <c r="J5" s="118"/>
      <c r="K5" s="3"/>
    </row>
    <row r="6" spans="1:11" ht="14.4" thickBot="1" x14ac:dyDescent="0.3">
      <c r="A6" s="3"/>
      <c r="B6" s="115"/>
      <c r="C6" s="207" t="s">
        <v>1</v>
      </c>
      <c r="D6" s="208"/>
      <c r="E6" s="209"/>
      <c r="F6" s="197"/>
      <c r="G6" s="164"/>
      <c r="H6" s="165"/>
      <c r="I6" s="27" t="s">
        <v>2</v>
      </c>
      <c r="J6" s="118"/>
      <c r="K6" s="3"/>
    </row>
    <row r="7" spans="1:11" ht="14.4" thickBot="1" x14ac:dyDescent="0.3">
      <c r="A7" s="3"/>
      <c r="B7" s="115"/>
      <c r="C7" s="120"/>
      <c r="D7" s="120"/>
      <c r="E7" s="120"/>
      <c r="F7" s="120"/>
      <c r="G7" s="120"/>
      <c r="H7" s="120"/>
      <c r="I7" s="120"/>
      <c r="J7" s="118"/>
      <c r="K7" s="3"/>
    </row>
    <row r="8" spans="1:11" x14ac:dyDescent="0.25">
      <c r="A8" s="3"/>
      <c r="B8" s="115"/>
      <c r="C8" s="28" t="s">
        <v>21</v>
      </c>
      <c r="D8" s="202" t="s">
        <v>3</v>
      </c>
      <c r="E8" s="203"/>
      <c r="F8" s="203"/>
      <c r="G8" s="203"/>
      <c r="H8" s="203"/>
      <c r="I8" s="204"/>
      <c r="J8" s="118"/>
      <c r="K8" s="3"/>
    </row>
    <row r="9" spans="1:11" ht="27" customHeight="1" x14ac:dyDescent="0.25">
      <c r="A9" s="3"/>
      <c r="B9" s="115"/>
      <c r="C9" s="30">
        <v>44562</v>
      </c>
      <c r="D9" s="205" t="s">
        <v>22</v>
      </c>
      <c r="E9" s="205"/>
      <c r="F9" s="205"/>
      <c r="G9" s="205"/>
      <c r="H9" s="205"/>
      <c r="I9" s="206"/>
      <c r="J9" s="118"/>
      <c r="K9" s="3"/>
    </row>
    <row r="10" spans="1:11" x14ac:dyDescent="0.25">
      <c r="A10" s="3"/>
      <c r="B10" s="115"/>
      <c r="C10" s="33">
        <v>44596</v>
      </c>
      <c r="D10" s="210" t="s">
        <v>23</v>
      </c>
      <c r="E10" s="210"/>
      <c r="F10" s="210"/>
      <c r="G10" s="210"/>
      <c r="H10" s="210"/>
      <c r="I10" s="211"/>
      <c r="J10" s="118"/>
      <c r="K10" s="3"/>
    </row>
    <row r="11" spans="1:11" x14ac:dyDescent="0.25">
      <c r="A11" s="3"/>
      <c r="B11" s="115"/>
      <c r="C11" s="33"/>
      <c r="D11" s="210"/>
      <c r="E11" s="210"/>
      <c r="F11" s="210"/>
      <c r="G11" s="210"/>
      <c r="H11" s="210"/>
      <c r="I11" s="211"/>
      <c r="J11" s="118"/>
      <c r="K11" s="3"/>
    </row>
    <row r="12" spans="1:11" x14ac:dyDescent="0.25">
      <c r="A12" s="3"/>
      <c r="B12" s="115"/>
      <c r="C12" s="37"/>
      <c r="D12" s="198"/>
      <c r="E12" s="198"/>
      <c r="F12" s="198"/>
      <c r="G12" s="198"/>
      <c r="H12" s="198"/>
      <c r="I12" s="199"/>
      <c r="J12" s="118"/>
      <c r="K12" s="3"/>
    </row>
    <row r="13" spans="1:11" x14ac:dyDescent="0.25">
      <c r="A13" s="3"/>
      <c r="B13" s="115"/>
      <c r="C13" s="37"/>
      <c r="D13" s="198"/>
      <c r="E13" s="198"/>
      <c r="F13" s="198"/>
      <c r="G13" s="198"/>
      <c r="H13" s="198"/>
      <c r="I13" s="199"/>
      <c r="J13" s="118"/>
      <c r="K13" s="3"/>
    </row>
    <row r="14" spans="1:11" x14ac:dyDescent="0.25">
      <c r="A14" s="3"/>
      <c r="B14" s="115"/>
      <c r="C14" s="37"/>
      <c r="D14" s="198"/>
      <c r="E14" s="198"/>
      <c r="F14" s="198"/>
      <c r="G14" s="198"/>
      <c r="H14" s="198"/>
      <c r="I14" s="199"/>
      <c r="J14" s="118"/>
      <c r="K14" s="3"/>
    </row>
    <row r="15" spans="1:11" x14ac:dyDescent="0.25">
      <c r="A15" s="3"/>
      <c r="B15" s="115"/>
      <c r="C15" s="37"/>
      <c r="D15" s="198"/>
      <c r="E15" s="198"/>
      <c r="F15" s="198"/>
      <c r="G15" s="198"/>
      <c r="H15" s="198"/>
      <c r="I15" s="199"/>
      <c r="J15" s="118"/>
      <c r="K15" s="3"/>
    </row>
    <row r="16" spans="1:11" x14ac:dyDescent="0.25">
      <c r="A16" s="3"/>
      <c r="B16" s="115"/>
      <c r="C16" s="37"/>
      <c r="D16" s="198"/>
      <c r="E16" s="198"/>
      <c r="F16" s="198"/>
      <c r="G16" s="198"/>
      <c r="H16" s="198"/>
      <c r="I16" s="199"/>
      <c r="J16" s="118"/>
      <c r="K16" s="3"/>
    </row>
    <row r="17" spans="1:11" x14ac:dyDescent="0.25">
      <c r="A17" s="3"/>
      <c r="B17" s="115"/>
      <c r="C17" s="37"/>
      <c r="D17" s="198"/>
      <c r="E17" s="198"/>
      <c r="F17" s="198"/>
      <c r="G17" s="198"/>
      <c r="H17" s="198"/>
      <c r="I17" s="199"/>
      <c r="J17" s="118"/>
      <c r="K17" s="3"/>
    </row>
    <row r="18" spans="1:11" x14ac:dyDescent="0.25">
      <c r="A18" s="3"/>
      <c r="B18" s="115"/>
      <c r="C18" s="37"/>
      <c r="D18" s="198"/>
      <c r="E18" s="198"/>
      <c r="F18" s="198"/>
      <c r="G18" s="198"/>
      <c r="H18" s="198"/>
      <c r="I18" s="199"/>
      <c r="J18" s="118"/>
      <c r="K18" s="3"/>
    </row>
    <row r="19" spans="1:11" x14ac:dyDescent="0.25">
      <c r="A19" s="3"/>
      <c r="B19" s="115"/>
      <c r="C19" s="37"/>
      <c r="D19" s="198"/>
      <c r="E19" s="198"/>
      <c r="F19" s="198"/>
      <c r="G19" s="198"/>
      <c r="H19" s="198"/>
      <c r="I19" s="199"/>
      <c r="J19" s="118"/>
      <c r="K19" s="3"/>
    </row>
    <row r="20" spans="1:11" x14ac:dyDescent="0.25">
      <c r="A20" s="3"/>
      <c r="B20" s="115"/>
      <c r="C20" s="37"/>
      <c r="D20" s="198"/>
      <c r="E20" s="198"/>
      <c r="F20" s="198"/>
      <c r="G20" s="198"/>
      <c r="H20" s="198"/>
      <c r="I20" s="199"/>
      <c r="J20" s="118"/>
      <c r="K20" s="3"/>
    </row>
    <row r="21" spans="1:11" x14ac:dyDescent="0.25">
      <c r="A21" s="3"/>
      <c r="B21" s="115"/>
      <c r="C21" s="37"/>
      <c r="D21" s="198"/>
      <c r="E21" s="198"/>
      <c r="F21" s="198"/>
      <c r="G21" s="198"/>
      <c r="H21" s="198"/>
      <c r="I21" s="199"/>
      <c r="J21" s="118"/>
      <c r="K21" s="3"/>
    </row>
    <row r="22" spans="1:11" x14ac:dyDescent="0.25">
      <c r="A22" s="3"/>
      <c r="B22" s="115"/>
      <c r="C22" s="38"/>
      <c r="D22" s="200"/>
      <c r="E22" s="200"/>
      <c r="F22" s="200"/>
      <c r="G22" s="200"/>
      <c r="H22" s="200"/>
      <c r="I22" s="201"/>
      <c r="J22" s="118"/>
      <c r="K22" s="3"/>
    </row>
    <row r="23" spans="1:11" ht="14.4" thickBot="1" x14ac:dyDescent="0.3">
      <c r="A23" s="3"/>
      <c r="B23" s="115"/>
      <c r="C23" s="193"/>
      <c r="D23" s="193"/>
      <c r="E23" s="194"/>
      <c r="F23" s="194"/>
      <c r="G23" s="194"/>
      <c r="H23" s="194"/>
      <c r="I23" s="194"/>
      <c r="J23" s="195"/>
      <c r="K23" s="3"/>
    </row>
    <row r="24" spans="1:11" ht="14.4" thickBot="1" x14ac:dyDescent="0.3">
      <c r="A24" s="3"/>
      <c r="B24" s="115"/>
      <c r="C24" s="153" t="s">
        <v>24</v>
      </c>
      <c r="D24" s="154"/>
      <c r="E24" s="194"/>
      <c r="F24" s="194"/>
      <c r="G24" s="194"/>
      <c r="H24" s="194"/>
      <c r="I24" s="194"/>
      <c r="J24" s="195"/>
      <c r="K24" s="3"/>
    </row>
    <row r="25" spans="1:11" ht="14.4" thickBot="1" x14ac:dyDescent="0.3">
      <c r="A25" s="3"/>
      <c r="B25" s="116"/>
      <c r="C25" s="39"/>
      <c r="D25" s="39"/>
      <c r="E25" s="162"/>
      <c r="F25" s="162"/>
      <c r="G25" s="162"/>
      <c r="H25" s="162"/>
      <c r="I25" s="162"/>
      <c r="J25" s="196"/>
      <c r="K25" s="3"/>
    </row>
    <row r="26" spans="1:1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</sheetData>
  <mergeCells count="29">
    <mergeCell ref="D8:I8"/>
    <mergeCell ref="D9:I9"/>
    <mergeCell ref="D19:I19"/>
    <mergeCell ref="D18:I18"/>
    <mergeCell ref="C3:E4"/>
    <mergeCell ref="C6:E6"/>
    <mergeCell ref="D10:I10"/>
    <mergeCell ref="D11:I11"/>
    <mergeCell ref="D12:I12"/>
    <mergeCell ref="D13:I13"/>
    <mergeCell ref="D17:I17"/>
    <mergeCell ref="H3:I3"/>
    <mergeCell ref="H4:I4"/>
    <mergeCell ref="C24:D24"/>
    <mergeCell ref="B2:J2"/>
    <mergeCell ref="B3:B25"/>
    <mergeCell ref="C23:D23"/>
    <mergeCell ref="E23:J25"/>
    <mergeCell ref="J3:J22"/>
    <mergeCell ref="C7:I7"/>
    <mergeCell ref="F6:H6"/>
    <mergeCell ref="C5:I5"/>
    <mergeCell ref="F3:G4"/>
    <mergeCell ref="D20:I20"/>
    <mergeCell ref="D21:I21"/>
    <mergeCell ref="D22:I22"/>
    <mergeCell ref="D14:I14"/>
    <mergeCell ref="D15:I15"/>
    <mergeCell ref="D16:I16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1CA54-C59A-4F5B-AECB-FE17CD225475}">
  <sheetPr codeName="Sheet7">
    <tabColor theme="4" tint="-0.499984740745262"/>
  </sheetPr>
  <dimension ref="A1:N41"/>
  <sheetViews>
    <sheetView showGridLines="0" zoomScale="80" zoomScaleNormal="80" workbookViewId="0">
      <selection activeCell="L31" sqref="L31"/>
    </sheetView>
  </sheetViews>
  <sheetFormatPr defaultColWidth="9.109375" defaultRowHeight="13.8" x14ac:dyDescent="0.25"/>
  <cols>
    <col min="1" max="1" width="9.109375" style="1"/>
    <col min="2" max="3" width="5" style="1" customWidth="1"/>
    <col min="4" max="4" width="15.6640625" style="1" bestFit="1" customWidth="1"/>
    <col min="5" max="5" width="3.88671875" style="1" customWidth="1"/>
    <col min="6" max="6" width="14.33203125" style="1" customWidth="1"/>
    <col min="7" max="7" width="16" style="1" bestFit="1" customWidth="1"/>
    <col min="8" max="8" width="4.109375" style="1" customWidth="1"/>
    <col min="9" max="9" width="14.33203125" style="1" customWidth="1"/>
    <col min="10" max="10" width="19.44140625" style="1" bestFit="1" customWidth="1"/>
    <col min="11" max="11" width="3.5546875" style="1" customWidth="1"/>
    <col min="12" max="12" width="4.44140625" style="1" customWidth="1"/>
    <col min="13" max="13" width="5" style="1" customWidth="1"/>
    <col min="14" max="16384" width="9.109375" style="1"/>
  </cols>
  <sheetData>
    <row r="1" spans="1:14" ht="14.4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4.4" thickBot="1" x14ac:dyDescent="0.3">
      <c r="A2" s="3"/>
      <c r="B2" s="40"/>
      <c r="C2" s="4"/>
      <c r="D2" s="111"/>
      <c r="E2" s="111"/>
      <c r="F2" s="111"/>
      <c r="G2" s="111"/>
      <c r="H2" s="111"/>
      <c r="I2" s="111"/>
      <c r="J2" s="111"/>
      <c r="K2" s="111"/>
      <c r="L2" s="111"/>
      <c r="M2" s="41"/>
      <c r="N2" s="3"/>
    </row>
    <row r="3" spans="1:14" ht="22.8" x14ac:dyDescent="0.25">
      <c r="A3" s="3"/>
      <c r="B3" s="42"/>
      <c r="C3" s="8"/>
      <c r="D3" s="181" t="s">
        <v>30</v>
      </c>
      <c r="E3" s="182"/>
      <c r="F3" s="182"/>
      <c r="G3" s="183"/>
      <c r="H3" s="43"/>
      <c r="I3" s="44"/>
      <c r="J3" s="45"/>
      <c r="K3" s="45"/>
      <c r="L3" s="45"/>
      <c r="M3" s="46"/>
      <c r="N3" s="3"/>
    </row>
    <row r="4" spans="1:14" ht="23.4" thickBot="1" x14ac:dyDescent="0.3">
      <c r="A4" s="3"/>
      <c r="B4" s="42"/>
      <c r="C4" s="8"/>
      <c r="D4" s="184"/>
      <c r="E4" s="185"/>
      <c r="F4" s="185"/>
      <c r="G4" s="186"/>
      <c r="H4" s="43"/>
      <c r="I4" s="44"/>
      <c r="J4" s="45"/>
      <c r="K4" s="45"/>
      <c r="L4" s="45"/>
      <c r="M4" s="46"/>
      <c r="N4" s="3"/>
    </row>
    <row r="5" spans="1:14" ht="14.4" thickBot="1" x14ac:dyDescent="0.3">
      <c r="A5" s="3"/>
      <c r="B5" s="42"/>
      <c r="C5" s="8"/>
      <c r="D5" s="121"/>
      <c r="E5" s="121"/>
      <c r="F5" s="121"/>
      <c r="G5" s="121"/>
      <c r="H5" s="121"/>
      <c r="I5" s="121"/>
      <c r="J5" s="121"/>
      <c r="K5" s="121"/>
      <c r="L5" s="121"/>
      <c r="M5" s="46"/>
      <c r="N5" s="3"/>
    </row>
    <row r="6" spans="1:14" ht="14.4" thickBot="1" x14ac:dyDescent="0.3">
      <c r="A6" s="3"/>
      <c r="B6" s="42"/>
      <c r="C6" s="8"/>
      <c r="D6" s="207" t="s">
        <v>1</v>
      </c>
      <c r="E6" s="208"/>
      <c r="F6" s="208"/>
      <c r="G6" s="209"/>
      <c r="H6" s="47"/>
      <c r="I6" s="48"/>
      <c r="J6" s="27" t="s">
        <v>2</v>
      </c>
      <c r="K6" s="48"/>
      <c r="L6" s="49"/>
      <c r="M6" s="46"/>
      <c r="N6" s="3"/>
    </row>
    <row r="7" spans="1:14" x14ac:dyDescent="0.25">
      <c r="A7" s="3"/>
      <c r="B7" s="42"/>
      <c r="C7" s="8"/>
      <c r="D7" s="121"/>
      <c r="E7" s="121"/>
      <c r="F7" s="121"/>
      <c r="G7" s="121"/>
      <c r="H7" s="121"/>
      <c r="I7" s="121"/>
      <c r="J7" s="121"/>
      <c r="K7" s="121"/>
      <c r="L7" s="121"/>
      <c r="M7" s="46"/>
      <c r="N7" s="3"/>
    </row>
    <row r="8" spans="1:14" ht="14.4" thickBot="1" x14ac:dyDescent="0.3">
      <c r="A8" s="3"/>
      <c r="B8" s="42"/>
      <c r="C8" s="8"/>
      <c r="D8" s="8"/>
      <c r="E8" s="8"/>
      <c r="F8" s="8"/>
      <c r="G8" s="8"/>
      <c r="H8" s="8"/>
      <c r="I8" s="8"/>
      <c r="J8" s="8"/>
      <c r="K8" s="8"/>
      <c r="L8" s="8"/>
      <c r="M8" s="46"/>
      <c r="N8" s="3"/>
    </row>
    <row r="9" spans="1:14" ht="14.4" thickBot="1" x14ac:dyDescent="0.3">
      <c r="A9" s="3"/>
      <c r="B9" s="42"/>
      <c r="C9" s="212" t="s">
        <v>34</v>
      </c>
      <c r="D9" s="213"/>
      <c r="E9" s="213"/>
      <c r="F9" s="213"/>
      <c r="G9" s="213"/>
      <c r="H9" s="213"/>
      <c r="I9" s="213"/>
      <c r="J9" s="213"/>
      <c r="K9" s="213"/>
      <c r="L9" s="214"/>
      <c r="M9" s="46"/>
      <c r="N9" s="3"/>
    </row>
    <row r="10" spans="1:14" ht="14.4" thickBot="1" x14ac:dyDescent="0.3">
      <c r="A10" s="3"/>
      <c r="B10" s="42"/>
      <c r="C10" s="42"/>
      <c r="D10" s="8"/>
      <c r="E10" s="8"/>
      <c r="F10" s="8"/>
      <c r="G10" s="8"/>
      <c r="H10" s="8"/>
      <c r="I10" s="8"/>
      <c r="J10" s="8"/>
      <c r="K10" s="8"/>
      <c r="L10" s="46"/>
      <c r="M10" s="46"/>
      <c r="N10" s="3"/>
    </row>
    <row r="11" spans="1:14" ht="14.4" thickBot="1" x14ac:dyDescent="0.3">
      <c r="A11" s="3"/>
      <c r="B11" s="42"/>
      <c r="C11" s="42"/>
      <c r="D11" s="50" t="s">
        <v>31</v>
      </c>
      <c r="E11" s="51" t="s">
        <v>58</v>
      </c>
      <c r="F11" s="52"/>
      <c r="G11" s="50" t="s">
        <v>32</v>
      </c>
      <c r="H11" s="51" t="s">
        <v>58</v>
      </c>
      <c r="I11" s="52"/>
      <c r="J11" s="50" t="s">
        <v>33</v>
      </c>
      <c r="K11" s="53"/>
      <c r="L11" s="54"/>
      <c r="M11" s="46"/>
      <c r="N11" s="3"/>
    </row>
    <row r="12" spans="1:14" ht="14.4" thickBot="1" x14ac:dyDescent="0.3">
      <c r="A12" s="3"/>
      <c r="B12" s="42"/>
      <c r="C12" s="55"/>
      <c r="D12" s="56"/>
      <c r="E12" s="57"/>
      <c r="F12" s="57"/>
      <c r="G12" s="58"/>
      <c r="H12" s="58"/>
      <c r="I12" s="56"/>
      <c r="J12" s="56"/>
      <c r="K12" s="57"/>
      <c r="L12" s="59"/>
      <c r="M12" s="46"/>
      <c r="N12" s="3"/>
    </row>
    <row r="13" spans="1:14" x14ac:dyDescent="0.25">
      <c r="A13" s="3"/>
      <c r="B13" s="42"/>
      <c r="C13" s="8"/>
      <c r="D13" s="60"/>
      <c r="E13" s="61"/>
      <c r="F13" s="61"/>
      <c r="G13" s="62"/>
      <c r="H13" s="62"/>
      <c r="I13" s="60"/>
      <c r="J13" s="60"/>
      <c r="K13" s="61"/>
      <c r="L13" s="61"/>
      <c r="M13" s="46"/>
      <c r="N13" s="3"/>
    </row>
    <row r="14" spans="1:14" ht="14.4" thickBot="1" x14ac:dyDescent="0.3">
      <c r="A14" s="3"/>
      <c r="B14" s="42"/>
      <c r="C14" s="8"/>
      <c r="D14" s="60"/>
      <c r="E14" s="61"/>
      <c r="F14" s="61"/>
      <c r="G14" s="62"/>
      <c r="H14" s="62"/>
      <c r="I14" s="60"/>
      <c r="J14" s="60"/>
      <c r="K14" s="61"/>
      <c r="L14" s="61"/>
      <c r="M14" s="46"/>
      <c r="N14" s="3"/>
    </row>
    <row r="15" spans="1:14" ht="14.4" thickBot="1" x14ac:dyDescent="0.3">
      <c r="A15" s="3"/>
      <c r="B15" s="42"/>
      <c r="C15" s="212" t="s">
        <v>35</v>
      </c>
      <c r="D15" s="213"/>
      <c r="E15" s="213"/>
      <c r="F15" s="213"/>
      <c r="G15" s="213"/>
      <c r="H15" s="213"/>
      <c r="I15" s="213"/>
      <c r="J15" s="213"/>
      <c r="K15" s="213"/>
      <c r="L15" s="214"/>
      <c r="M15" s="46"/>
      <c r="N15" s="3"/>
    </row>
    <row r="16" spans="1:14" ht="14.4" thickBot="1" x14ac:dyDescent="0.3">
      <c r="A16" s="3"/>
      <c r="B16" s="42"/>
      <c r="C16" s="42"/>
      <c r="D16" s="8"/>
      <c r="E16" s="8"/>
      <c r="F16" s="8"/>
      <c r="G16" s="8"/>
      <c r="H16" s="8"/>
      <c r="I16" s="8"/>
      <c r="J16" s="8"/>
      <c r="K16" s="8"/>
      <c r="L16" s="46"/>
      <c r="M16" s="46"/>
      <c r="N16" s="3"/>
    </row>
    <row r="17" spans="1:14" ht="14.4" thickBot="1" x14ac:dyDescent="0.3">
      <c r="A17" s="3"/>
      <c r="B17" s="42"/>
      <c r="C17" s="42"/>
      <c r="D17" s="50" t="s">
        <v>36</v>
      </c>
      <c r="E17" s="53"/>
      <c r="F17" s="52"/>
      <c r="G17" s="50" t="s">
        <v>37</v>
      </c>
      <c r="H17" s="63"/>
      <c r="I17" s="52"/>
      <c r="J17" s="50" t="s">
        <v>38</v>
      </c>
      <c r="K17" s="53"/>
      <c r="L17" s="54"/>
      <c r="M17" s="46"/>
      <c r="N17" s="3"/>
    </row>
    <row r="18" spans="1:14" ht="14.4" thickBot="1" x14ac:dyDescent="0.3">
      <c r="A18" s="3"/>
      <c r="B18" s="42"/>
      <c r="C18" s="42"/>
      <c r="D18" s="64"/>
      <c r="E18" s="65"/>
      <c r="F18" s="66"/>
      <c r="G18" s="64"/>
      <c r="H18" s="67"/>
      <c r="I18" s="66"/>
      <c r="J18" s="64"/>
      <c r="K18" s="65"/>
      <c r="L18" s="68"/>
      <c r="M18" s="46"/>
      <c r="N18" s="3"/>
    </row>
    <row r="19" spans="1:14" ht="14.4" thickBot="1" x14ac:dyDescent="0.3">
      <c r="A19" s="3"/>
      <c r="B19" s="42"/>
      <c r="C19" s="42"/>
      <c r="D19" s="50" t="s">
        <v>39</v>
      </c>
      <c r="E19" s="53"/>
      <c r="F19" s="52"/>
      <c r="G19" s="50" t="s">
        <v>40</v>
      </c>
      <c r="H19" s="63"/>
      <c r="I19" s="52"/>
      <c r="J19" s="50" t="s">
        <v>41</v>
      </c>
      <c r="K19" s="53"/>
      <c r="L19" s="54"/>
      <c r="M19" s="46"/>
      <c r="N19" s="3"/>
    </row>
    <row r="20" spans="1:14" ht="14.4" thickBot="1" x14ac:dyDescent="0.3">
      <c r="A20" s="3"/>
      <c r="B20" s="42"/>
      <c r="C20" s="55"/>
      <c r="D20" s="56"/>
      <c r="E20" s="57"/>
      <c r="F20" s="57"/>
      <c r="G20" s="58"/>
      <c r="H20" s="58"/>
      <c r="I20" s="56"/>
      <c r="J20" s="56"/>
      <c r="K20" s="57"/>
      <c r="L20" s="59"/>
      <c r="M20" s="46"/>
      <c r="N20" s="3"/>
    </row>
    <row r="21" spans="1:14" x14ac:dyDescent="0.25">
      <c r="A21" s="3"/>
      <c r="B21" s="42"/>
      <c r="C21" s="8"/>
      <c r="D21" s="60"/>
      <c r="E21" s="61"/>
      <c r="F21" s="61"/>
      <c r="G21" s="62"/>
      <c r="H21" s="62"/>
      <c r="I21" s="60"/>
      <c r="J21" s="60"/>
      <c r="K21" s="61"/>
      <c r="L21" s="61"/>
      <c r="M21" s="46"/>
      <c r="N21" s="3"/>
    </row>
    <row r="22" spans="1:14" ht="14.4" thickBot="1" x14ac:dyDescent="0.3">
      <c r="A22" s="3"/>
      <c r="B22" s="42"/>
      <c r="C22" s="8"/>
      <c r="D22" s="60"/>
      <c r="E22" s="61"/>
      <c r="F22" s="61"/>
      <c r="G22" s="62"/>
      <c r="H22" s="62"/>
      <c r="I22" s="60"/>
      <c r="J22" s="60"/>
      <c r="K22" s="61"/>
      <c r="L22" s="61"/>
      <c r="M22" s="46"/>
      <c r="N22" s="3"/>
    </row>
    <row r="23" spans="1:14" ht="14.4" thickBot="1" x14ac:dyDescent="0.3">
      <c r="A23" s="3"/>
      <c r="B23" s="42"/>
      <c r="C23" s="212" t="s">
        <v>45</v>
      </c>
      <c r="D23" s="213"/>
      <c r="E23" s="213"/>
      <c r="F23" s="213"/>
      <c r="G23" s="213"/>
      <c r="H23" s="213"/>
      <c r="I23" s="213"/>
      <c r="J23" s="213"/>
      <c r="K23" s="213"/>
      <c r="L23" s="214"/>
      <c r="M23" s="46"/>
      <c r="N23" s="3"/>
    </row>
    <row r="24" spans="1:14" ht="14.4" thickBot="1" x14ac:dyDescent="0.3">
      <c r="A24" s="3"/>
      <c r="B24" s="42"/>
      <c r="C24" s="42"/>
      <c r="D24" s="8"/>
      <c r="E24" s="8"/>
      <c r="F24" s="8"/>
      <c r="G24" s="8"/>
      <c r="H24" s="8"/>
      <c r="I24" s="8"/>
      <c r="J24" s="8"/>
      <c r="K24" s="8"/>
      <c r="L24" s="46"/>
      <c r="M24" s="46"/>
      <c r="N24" s="3"/>
    </row>
    <row r="25" spans="1:14" ht="14.4" thickBot="1" x14ac:dyDescent="0.3">
      <c r="A25" s="3"/>
      <c r="B25" s="42"/>
      <c r="C25" s="42"/>
      <c r="D25" s="50" t="s">
        <v>42</v>
      </c>
      <c r="E25" s="53"/>
      <c r="F25" s="52"/>
      <c r="G25" s="50" t="s">
        <v>44</v>
      </c>
      <c r="H25" s="63"/>
      <c r="I25" s="52"/>
      <c r="J25" s="50" t="s">
        <v>43</v>
      </c>
      <c r="K25" s="53"/>
      <c r="L25" s="68"/>
      <c r="M25" s="46"/>
      <c r="N25" s="3"/>
    </row>
    <row r="26" spans="1:14" ht="14.4" thickBot="1" x14ac:dyDescent="0.3">
      <c r="A26" s="3"/>
      <c r="B26" s="42"/>
      <c r="C26" s="42"/>
      <c r="D26" s="64"/>
      <c r="E26" s="65"/>
      <c r="F26" s="66"/>
      <c r="G26" s="64"/>
      <c r="H26" s="67"/>
      <c r="I26" s="66"/>
      <c r="J26" s="9"/>
      <c r="K26" s="66"/>
      <c r="L26" s="68"/>
      <c r="M26" s="46"/>
      <c r="N26" s="3"/>
    </row>
    <row r="27" spans="1:14" ht="14.4" thickBot="1" x14ac:dyDescent="0.3">
      <c r="A27" s="3"/>
      <c r="B27" s="42"/>
      <c r="C27" s="42"/>
      <c r="D27" s="50" t="s">
        <v>32</v>
      </c>
      <c r="E27" s="53"/>
      <c r="F27" s="52"/>
      <c r="G27" s="50" t="s">
        <v>46</v>
      </c>
      <c r="H27" s="63"/>
      <c r="I27" s="52"/>
      <c r="J27" s="9"/>
      <c r="K27" s="66"/>
      <c r="L27" s="68"/>
      <c r="M27" s="46"/>
      <c r="N27" s="3"/>
    </row>
    <row r="28" spans="1:14" ht="14.4" thickBot="1" x14ac:dyDescent="0.3">
      <c r="A28" s="3"/>
      <c r="B28" s="42"/>
      <c r="C28" s="55"/>
      <c r="D28" s="56"/>
      <c r="E28" s="57"/>
      <c r="F28" s="57"/>
      <c r="G28" s="58"/>
      <c r="H28" s="58"/>
      <c r="I28" s="56"/>
      <c r="J28" s="56"/>
      <c r="K28" s="57"/>
      <c r="L28" s="59"/>
      <c r="M28" s="46"/>
      <c r="N28" s="3"/>
    </row>
    <row r="29" spans="1:14" x14ac:dyDescent="0.25">
      <c r="A29" s="3"/>
      <c r="B29" s="42"/>
      <c r="C29" s="8"/>
      <c r="D29" s="69"/>
      <c r="E29" s="69"/>
      <c r="F29" s="69"/>
      <c r="G29" s="70"/>
      <c r="H29" s="70"/>
      <c r="I29" s="69"/>
      <c r="J29" s="69"/>
      <c r="K29" s="69"/>
      <c r="L29" s="69"/>
      <c r="M29" s="46"/>
      <c r="N29" s="3"/>
    </row>
    <row r="30" spans="1:14" ht="14.4" thickBot="1" x14ac:dyDescent="0.3">
      <c r="A30" s="3"/>
      <c r="B30" s="42"/>
      <c r="C30" s="8"/>
      <c r="D30" s="69"/>
      <c r="E30" s="69"/>
      <c r="F30" s="69"/>
      <c r="G30" s="70"/>
      <c r="H30" s="70"/>
      <c r="I30" s="69"/>
      <c r="J30" s="69"/>
      <c r="K30" s="69"/>
      <c r="L30" s="69"/>
      <c r="M30" s="46"/>
      <c r="N30" s="3"/>
    </row>
    <row r="31" spans="1:14" ht="14.4" thickBot="1" x14ac:dyDescent="0.3">
      <c r="A31" s="3"/>
      <c r="B31" s="42"/>
      <c r="C31" s="212" t="s">
        <v>47</v>
      </c>
      <c r="D31" s="213"/>
      <c r="E31" s="213"/>
      <c r="F31" s="213"/>
      <c r="G31" s="213"/>
      <c r="H31" s="213"/>
      <c r="I31" s="213"/>
      <c r="J31" s="213"/>
      <c r="K31" s="213"/>
      <c r="L31" s="214"/>
      <c r="M31" s="46"/>
      <c r="N31" s="3"/>
    </row>
    <row r="32" spans="1:14" ht="14.4" thickBot="1" x14ac:dyDescent="0.3">
      <c r="A32" s="3"/>
      <c r="B32" s="42"/>
      <c r="C32" s="42"/>
      <c r="D32" s="8"/>
      <c r="E32" s="8"/>
      <c r="F32" s="8"/>
      <c r="G32" s="8"/>
      <c r="H32" s="8"/>
      <c r="I32" s="8"/>
      <c r="J32" s="8"/>
      <c r="K32" s="8"/>
      <c r="L32" s="46"/>
      <c r="M32" s="46"/>
      <c r="N32" s="3"/>
    </row>
    <row r="33" spans="1:14" ht="14.4" thickBot="1" x14ac:dyDescent="0.3">
      <c r="A33" s="3"/>
      <c r="B33" s="42"/>
      <c r="C33" s="42"/>
      <c r="D33" s="50" t="s">
        <v>48</v>
      </c>
      <c r="E33" s="53"/>
      <c r="F33" s="52"/>
      <c r="G33" s="50" t="s">
        <v>49</v>
      </c>
      <c r="H33" s="63"/>
      <c r="I33" s="52"/>
      <c r="J33" s="50" t="s">
        <v>50</v>
      </c>
      <c r="K33" s="53"/>
      <c r="L33" s="54"/>
      <c r="M33" s="46"/>
      <c r="N33" s="3"/>
    </row>
    <row r="34" spans="1:14" ht="14.4" thickBot="1" x14ac:dyDescent="0.3">
      <c r="A34" s="3"/>
      <c r="B34" s="42"/>
      <c r="C34" s="42"/>
      <c r="D34" s="64"/>
      <c r="E34" s="65"/>
      <c r="F34" s="66"/>
      <c r="G34" s="64"/>
      <c r="H34" s="67"/>
      <c r="I34" s="66"/>
      <c r="J34" s="9"/>
      <c r="K34" s="66"/>
      <c r="L34" s="68"/>
      <c r="M34" s="46"/>
      <c r="N34" s="3"/>
    </row>
    <row r="35" spans="1:14" ht="14.4" thickBot="1" x14ac:dyDescent="0.3">
      <c r="A35" s="3"/>
      <c r="B35" s="42"/>
      <c r="C35" s="42"/>
      <c r="D35" s="50" t="s">
        <v>51</v>
      </c>
      <c r="E35" s="53"/>
      <c r="F35" s="52"/>
      <c r="G35" s="50" t="s">
        <v>52</v>
      </c>
      <c r="H35" s="63"/>
      <c r="I35" s="52"/>
      <c r="J35" s="9"/>
      <c r="K35" s="66"/>
      <c r="L35" s="54"/>
      <c r="M35" s="46"/>
      <c r="N35" s="3"/>
    </row>
    <row r="36" spans="1:14" ht="14.4" thickBot="1" x14ac:dyDescent="0.3">
      <c r="A36" s="3"/>
      <c r="B36" s="42"/>
      <c r="C36" s="55"/>
      <c r="D36" s="56"/>
      <c r="E36" s="57"/>
      <c r="F36" s="57"/>
      <c r="G36" s="58"/>
      <c r="H36" s="58"/>
      <c r="I36" s="56"/>
      <c r="J36" s="56"/>
      <c r="K36" s="57"/>
      <c r="L36" s="59"/>
      <c r="M36" s="46"/>
      <c r="N36" s="3"/>
    </row>
    <row r="37" spans="1:14" x14ac:dyDescent="0.25">
      <c r="A37" s="3"/>
      <c r="B37" s="42"/>
      <c r="C37" s="8"/>
      <c r="D37" s="71"/>
      <c r="E37" s="71"/>
      <c r="F37" s="71"/>
      <c r="G37" s="71"/>
      <c r="H37" s="71"/>
      <c r="I37" s="71"/>
      <c r="J37" s="71"/>
      <c r="K37" s="71"/>
      <c r="L37" s="71"/>
      <c r="M37" s="46"/>
      <c r="N37" s="3"/>
    </row>
    <row r="38" spans="1:14" x14ac:dyDescent="0.25">
      <c r="A38" s="3"/>
      <c r="B38" s="42"/>
      <c r="C38" s="8"/>
      <c r="D38" s="71"/>
      <c r="E38" s="71"/>
      <c r="F38" s="71"/>
      <c r="G38" s="71"/>
      <c r="H38" s="71"/>
      <c r="I38" s="71"/>
      <c r="J38" s="71"/>
      <c r="K38" s="71"/>
      <c r="L38" s="71"/>
      <c r="M38" s="46"/>
      <c r="N38" s="3"/>
    </row>
    <row r="39" spans="1:14" x14ac:dyDescent="0.25">
      <c r="A39" s="3"/>
      <c r="B39" s="42"/>
      <c r="C39" s="8"/>
      <c r="D39" s="71"/>
      <c r="E39" s="71"/>
      <c r="F39" s="71"/>
      <c r="G39" s="71"/>
      <c r="H39" s="71"/>
      <c r="I39" s="71"/>
      <c r="J39" s="71"/>
      <c r="K39" s="71"/>
      <c r="L39" s="71"/>
      <c r="M39" s="46"/>
      <c r="N39" s="3"/>
    </row>
    <row r="40" spans="1:14" ht="14.4" thickBot="1" x14ac:dyDescent="0.3">
      <c r="A40" s="3"/>
      <c r="B40" s="55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72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</sheetData>
  <mergeCells count="9">
    <mergeCell ref="C9:L9"/>
    <mergeCell ref="C15:L15"/>
    <mergeCell ref="C23:L23"/>
    <mergeCell ref="C31:L31"/>
    <mergeCell ref="D2:L2"/>
    <mergeCell ref="D3:G4"/>
    <mergeCell ref="D5:L5"/>
    <mergeCell ref="D6:G6"/>
    <mergeCell ref="D7:L7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9B4F-C062-4C6F-B749-29ED77152E6A}">
  <sheetPr codeName="Sheet8">
    <tabColor theme="4" tint="-0.499984740745262"/>
  </sheetPr>
  <dimension ref="A1:K20"/>
  <sheetViews>
    <sheetView showGridLines="0" workbookViewId="0">
      <selection activeCell="L31" sqref="L31"/>
    </sheetView>
  </sheetViews>
  <sheetFormatPr defaultColWidth="9.109375" defaultRowHeight="13.8" x14ac:dyDescent="0.25"/>
  <cols>
    <col min="1" max="1" width="9.109375" style="1"/>
    <col min="2" max="2" width="5" style="1" customWidth="1"/>
    <col min="3" max="5" width="16.33203125" style="1" customWidth="1"/>
    <col min="6" max="6" width="5.109375" style="1" customWidth="1"/>
    <col min="7" max="8" width="16.33203125" style="1" customWidth="1"/>
    <col min="9" max="9" width="14.33203125" style="1" customWidth="1"/>
    <col min="10" max="10" width="5" style="1" customWidth="1"/>
    <col min="11" max="16384" width="9.109375" style="1"/>
  </cols>
  <sheetData>
    <row r="1" spans="1:11" ht="14.4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4.4" thickBot="1" x14ac:dyDescent="0.3">
      <c r="A2" s="3"/>
      <c r="B2" s="114"/>
      <c r="C2" s="111"/>
      <c r="D2" s="111"/>
      <c r="E2" s="111"/>
      <c r="F2" s="111"/>
      <c r="G2" s="111"/>
      <c r="H2" s="111"/>
      <c r="I2" s="111"/>
      <c r="J2" s="117"/>
      <c r="K2" s="3"/>
    </row>
    <row r="3" spans="1:11" ht="15" customHeight="1" x14ac:dyDescent="0.25">
      <c r="A3" s="3"/>
      <c r="B3" s="115"/>
      <c r="C3" s="181" t="s">
        <v>60</v>
      </c>
      <c r="D3" s="182"/>
      <c r="E3" s="182"/>
      <c r="F3" s="182"/>
      <c r="G3" s="182"/>
      <c r="H3" s="182"/>
      <c r="I3" s="183"/>
      <c r="J3" s="118"/>
      <c r="K3" s="3"/>
    </row>
    <row r="4" spans="1:11" ht="15.75" customHeight="1" thickBot="1" x14ac:dyDescent="0.3">
      <c r="A4" s="3"/>
      <c r="B4" s="115"/>
      <c r="C4" s="184"/>
      <c r="D4" s="185"/>
      <c r="E4" s="185"/>
      <c r="F4" s="185"/>
      <c r="G4" s="185"/>
      <c r="H4" s="185"/>
      <c r="I4" s="186"/>
      <c r="J4" s="118"/>
      <c r="K4" s="3"/>
    </row>
    <row r="5" spans="1:11" x14ac:dyDescent="0.25">
      <c r="A5" s="3"/>
      <c r="B5" s="115"/>
      <c r="C5" s="12"/>
      <c r="D5" s="12"/>
      <c r="E5" s="12"/>
      <c r="F5" s="12"/>
      <c r="G5" s="12"/>
      <c r="H5" s="12"/>
      <c r="I5" s="12"/>
      <c r="J5" s="118"/>
      <c r="K5" s="3"/>
    </row>
    <row r="6" spans="1:11" ht="14.4" thickBot="1" x14ac:dyDescent="0.3">
      <c r="A6" s="3"/>
      <c r="B6" s="115"/>
      <c r="C6" s="73"/>
      <c r="D6" s="6"/>
      <c r="E6" s="6"/>
      <c r="F6" s="6"/>
      <c r="G6" s="6"/>
      <c r="H6" s="6"/>
      <c r="I6" s="6"/>
      <c r="J6" s="118"/>
      <c r="K6" s="3"/>
    </row>
    <row r="7" spans="1:11" x14ac:dyDescent="0.25">
      <c r="A7" s="3"/>
      <c r="B7" s="115"/>
      <c r="C7" s="215" t="s">
        <v>59</v>
      </c>
      <c r="D7" s="216"/>
      <c r="E7" s="217"/>
      <c r="F7" s="6"/>
      <c r="G7" s="221"/>
      <c r="H7" s="222"/>
      <c r="I7" s="223"/>
      <c r="J7" s="118"/>
      <c r="K7" s="3"/>
    </row>
    <row r="8" spans="1:11" ht="15" customHeight="1" thickBot="1" x14ac:dyDescent="0.3">
      <c r="A8" s="3"/>
      <c r="B8" s="115"/>
      <c r="C8" s="218"/>
      <c r="D8" s="219"/>
      <c r="E8" s="220"/>
      <c r="F8" s="10"/>
      <c r="G8" s="224"/>
      <c r="H8" s="225"/>
      <c r="I8" s="226"/>
      <c r="J8" s="118"/>
      <c r="K8" s="3"/>
    </row>
    <row r="9" spans="1:11" ht="15" customHeight="1" thickBot="1" x14ac:dyDescent="0.3">
      <c r="A9" s="3"/>
      <c r="B9" s="115"/>
      <c r="C9" s="74"/>
      <c r="D9" s="74"/>
      <c r="E9" s="74"/>
      <c r="F9" s="10"/>
      <c r="G9" s="10"/>
      <c r="H9" s="11"/>
      <c r="I9" s="9"/>
      <c r="J9" s="118"/>
      <c r="K9" s="3"/>
    </row>
    <row r="10" spans="1:11" ht="15" customHeight="1" x14ac:dyDescent="0.25">
      <c r="A10" s="3"/>
      <c r="B10" s="115"/>
      <c r="C10" s="215" t="s">
        <v>54</v>
      </c>
      <c r="D10" s="216"/>
      <c r="E10" s="217"/>
      <c r="F10" s="10"/>
      <c r="G10" s="221"/>
      <c r="H10" s="222"/>
      <c r="I10" s="223"/>
      <c r="J10" s="118"/>
      <c r="K10" s="3"/>
    </row>
    <row r="11" spans="1:11" ht="15" customHeight="1" thickBot="1" x14ac:dyDescent="0.3">
      <c r="A11" s="3"/>
      <c r="B11" s="115"/>
      <c r="C11" s="218"/>
      <c r="D11" s="219"/>
      <c r="E11" s="220"/>
      <c r="F11" s="10"/>
      <c r="G11" s="224"/>
      <c r="H11" s="225"/>
      <c r="I11" s="226"/>
      <c r="J11" s="118"/>
      <c r="K11" s="3"/>
    </row>
    <row r="12" spans="1:11" ht="15" customHeight="1" thickBot="1" x14ac:dyDescent="0.3">
      <c r="A12" s="3"/>
      <c r="B12" s="115"/>
      <c r="C12" s="74"/>
      <c r="D12" s="74"/>
      <c r="E12" s="74"/>
      <c r="F12" s="10"/>
      <c r="G12" s="10"/>
      <c r="H12" s="11"/>
      <c r="I12" s="9"/>
      <c r="J12" s="118"/>
      <c r="K12" s="3"/>
    </row>
    <row r="13" spans="1:11" ht="15" customHeight="1" x14ac:dyDescent="0.25">
      <c r="A13" s="3"/>
      <c r="B13" s="115"/>
      <c r="C13" s="215" t="s">
        <v>57</v>
      </c>
      <c r="D13" s="216"/>
      <c r="E13" s="217"/>
      <c r="F13" s="10"/>
      <c r="G13" s="221"/>
      <c r="H13" s="222"/>
      <c r="I13" s="223"/>
      <c r="J13" s="118"/>
      <c r="K13" s="3"/>
    </row>
    <row r="14" spans="1:11" ht="15" customHeight="1" thickBot="1" x14ac:dyDescent="0.3">
      <c r="A14" s="3"/>
      <c r="B14" s="115"/>
      <c r="C14" s="218"/>
      <c r="D14" s="219"/>
      <c r="E14" s="220"/>
      <c r="F14" s="10"/>
      <c r="G14" s="224"/>
      <c r="H14" s="225"/>
      <c r="I14" s="226"/>
      <c r="J14" s="118"/>
      <c r="K14" s="3"/>
    </row>
    <row r="15" spans="1:11" ht="15" customHeight="1" x14ac:dyDescent="0.25">
      <c r="A15" s="3"/>
      <c r="B15" s="115"/>
      <c r="C15" s="74"/>
      <c r="D15" s="74"/>
      <c r="E15" s="74"/>
      <c r="F15" s="10"/>
      <c r="G15" s="10"/>
      <c r="H15" s="11"/>
      <c r="I15" s="9"/>
      <c r="J15" s="118"/>
      <c r="K15" s="3"/>
    </row>
    <row r="16" spans="1:11" x14ac:dyDescent="0.25">
      <c r="A16" s="3"/>
      <c r="B16" s="115"/>
      <c r="C16" s="8"/>
      <c r="D16" s="14"/>
      <c r="E16" s="14"/>
      <c r="F16" s="14"/>
      <c r="G16" s="14"/>
      <c r="H16" s="14"/>
      <c r="I16" s="9"/>
      <c r="J16" s="118"/>
      <c r="K16" s="3"/>
    </row>
    <row r="17" spans="1:11" x14ac:dyDescent="0.25">
      <c r="A17" s="3"/>
      <c r="B17" s="115"/>
      <c r="C17" s="8"/>
      <c r="D17" s="8"/>
      <c r="E17" s="8"/>
      <c r="F17" s="8"/>
      <c r="G17" s="8"/>
      <c r="H17" s="8"/>
      <c r="I17" s="6"/>
      <c r="J17" s="118"/>
      <c r="K17" s="3"/>
    </row>
    <row r="18" spans="1:11" x14ac:dyDescent="0.25">
      <c r="A18" s="3"/>
      <c r="B18" s="115"/>
      <c r="C18" s="15"/>
      <c r="D18" s="15"/>
      <c r="E18" s="15"/>
      <c r="F18" s="152" t="s">
        <v>0</v>
      </c>
      <c r="G18" s="152"/>
      <c r="H18" s="152"/>
      <c r="I18" s="152"/>
      <c r="J18" s="118"/>
      <c r="K18" s="3"/>
    </row>
    <row r="19" spans="1:11" ht="14.4" thickBot="1" x14ac:dyDescent="0.3">
      <c r="A19" s="3"/>
      <c r="B19" s="116"/>
      <c r="C19" s="120"/>
      <c r="D19" s="120"/>
      <c r="E19" s="120"/>
      <c r="F19" s="120"/>
      <c r="G19" s="120"/>
      <c r="H19" s="120"/>
      <c r="I19" s="120"/>
      <c r="J19" s="119"/>
      <c r="K19" s="3"/>
    </row>
    <row r="20" spans="1:1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</sheetData>
  <mergeCells count="12">
    <mergeCell ref="B2:B19"/>
    <mergeCell ref="C2:I2"/>
    <mergeCell ref="J2:J19"/>
    <mergeCell ref="C3:I4"/>
    <mergeCell ref="F18:I18"/>
    <mergeCell ref="C19:I19"/>
    <mergeCell ref="C7:E8"/>
    <mergeCell ref="G7:I8"/>
    <mergeCell ref="C10:E11"/>
    <mergeCell ref="C13:E14"/>
    <mergeCell ref="G10:I11"/>
    <mergeCell ref="G13:I14"/>
  </mergeCells>
  <dataValidations count="1">
    <dataValidation type="list" allowBlank="1" showInputMessage="1" showErrorMessage="1" errorTitle="No Colleague!" error="There is no Colleague with this name!" promptTitle="Info" prompt="Drop down menu that you can search for the colleague through names!" sqref="G7:I8" xr:uid="{055F9F6E-EAA7-423A-B1EF-5C3244BE32B0}">
      <formula1>rngName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DB-s</vt:lpstr>
      <vt:lpstr>Dashboard</vt:lpstr>
      <vt:lpstr>Add New Colleague</vt:lpstr>
      <vt:lpstr>Colleague Profile</vt:lpstr>
      <vt:lpstr> Absence Tracker</vt:lpstr>
      <vt:lpstr>Performance Tracker</vt:lpstr>
      <vt:lpstr>Skill Set</vt:lpstr>
      <vt:lpstr>Quick Find</vt:lpstr>
      <vt:lpstr>rngName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Royal Ch. Rzakhanov</cp:lastModifiedBy>
  <dcterms:created xsi:type="dcterms:W3CDTF">2022-09-26T20:46:30Z</dcterms:created>
  <dcterms:modified xsi:type="dcterms:W3CDTF">2022-09-30T07:44:40Z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2022-09-29T08:46:11Z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9ce1a13d-fee9-4cea-b627-19cad4150aff</vt:lpwstr>
  </property>
  <property fmtid="{D5CDD505-2E9C-101B-9397-08002B2CF9AE}" pid="7" name="MSIP_Label_defa4170-0d19-0005-0004-bc88714345d2_ActionId">
    <vt:lpwstr>93ec85aa-90a6-438f-8a88-b6c9b88e1f03</vt:lpwstr>
  </property>
  <property fmtid="{D5CDD505-2E9C-101B-9397-08002B2CF9AE}" pid="8" name="MSIP_Label_defa4170-0d19-0005-0004-bc88714345d2_ContentBits">
    <vt:lpwstr>0</vt:lpwstr>
  </property>
</Properties>
</file>